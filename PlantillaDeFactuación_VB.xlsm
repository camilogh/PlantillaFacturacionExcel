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ell\Documents\KodigoFuente\FACTURAS\para github\"/>
    </mc:Choice>
  </mc:AlternateContent>
  <bookViews>
    <workbookView xWindow="0" yWindow="0" windowWidth="20490" windowHeight="7755" activeTab="4"/>
  </bookViews>
  <sheets>
    <sheet name="0. Introducción" sheetId="5" r:id="rId1"/>
    <sheet name="1. General" sheetId="2" r:id="rId2"/>
    <sheet name="2. Archivo Facturas" sheetId="1" r:id="rId3"/>
    <sheet name="3. Nueva factura" sheetId="3" r:id="rId4"/>
    <sheet name="4. Control" sheetId="4" r:id="rId5"/>
    <sheet name="5. Ivas" sheetId="6" r:id="rId6"/>
  </sheets>
  <functionGroups builtInGroupCount="18"/>
  <definedNames>
    <definedName name="_xlnm._FilterDatabase" localSheetId="2" hidden="1">'2. Archivo Facturas'!$E$6:$I$8</definedName>
    <definedName name="_xlnm.Print_Area" localSheetId="3">'3. Nueva factura'!$B$2:$J$55</definedName>
    <definedName name="INFO_CIUDAD">'1. General'!$I$9</definedName>
    <definedName name="INFO_CP">'1. General'!$D$11</definedName>
    <definedName name="INFO_DIREC">'1. General'!$D$9</definedName>
    <definedName name="INFO_IVA">'1. General'!$O$16</definedName>
    <definedName name="INFO_NIF">'1. General'!$I$7</definedName>
    <definedName name="INFO_NOMBRE">'1. General'!$D$7</definedName>
    <definedName name="Slicer_Año">#N/A</definedName>
    <definedName name="Slicer_Estado">#N/A</definedName>
    <definedName name="Slicer_Mes">#N/A</definedName>
  </definedNames>
  <calcPr calcId="152511"/>
  <pivotCaches>
    <pivotCache cacheId="12"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9" i="3" l="1"/>
  <c r="L20" i="3"/>
  <c r="L21" i="3"/>
  <c r="L22" i="3"/>
  <c r="L23" i="3"/>
  <c r="L24" i="3"/>
  <c r="L25" i="3"/>
  <c r="L26" i="3"/>
  <c r="L27" i="3"/>
  <c r="L28" i="3"/>
  <c r="L29" i="3"/>
  <c r="L30" i="3"/>
  <c r="L31" i="3"/>
  <c r="L32" i="3"/>
  <c r="L33" i="3"/>
  <c r="L34" i="3"/>
  <c r="L35" i="3"/>
  <c r="H40" i="3"/>
  <c r="H6" i="3"/>
  <c r="C14" i="3"/>
  <c r="C13" i="3"/>
  <c r="D13" i="3"/>
  <c r="C15" i="3"/>
  <c r="H38" i="3" l="1"/>
  <c r="H37" i="3"/>
  <c r="C52" i="3"/>
  <c r="C12" i="3"/>
  <c r="G5" i="3"/>
  <c r="G6" i="3"/>
  <c r="H13" i="3" l="1"/>
  <c r="G7" i="3"/>
  <c r="G4" i="3"/>
</calcChain>
</file>

<file path=xl/sharedStrings.xml><?xml version="1.0" encoding="utf-8"?>
<sst xmlns="http://schemas.openxmlformats.org/spreadsheetml/2006/main" count="109" uniqueCount="73">
  <si>
    <t>Clientes</t>
  </si>
  <si>
    <t>General</t>
  </si>
  <si>
    <t>Información personal</t>
  </si>
  <si>
    <t>Nombre y apellidos:</t>
  </si>
  <si>
    <t>Dirección</t>
  </si>
  <si>
    <t>Ciudad</t>
  </si>
  <si>
    <t>Ciudad:</t>
  </si>
  <si>
    <t>Dirección:</t>
  </si>
  <si>
    <t>Nombre</t>
  </si>
  <si>
    <t>Por favor, ingresa los valores de tú empresa o tus datos personales si eres Autónomo. Estos datos se utilizarán para hacer las facturas.</t>
  </si>
  <si>
    <t>Cliente</t>
  </si>
  <si>
    <t>IVA</t>
  </si>
  <si>
    <t>Fecha</t>
  </si>
  <si>
    <t>Estado</t>
  </si>
  <si>
    <t>Archivo de facturas</t>
  </si>
  <si>
    <t>Factura</t>
  </si>
  <si>
    <t>Concepto</t>
  </si>
  <si>
    <t>Fecha:</t>
  </si>
  <si>
    <t>IVA:</t>
  </si>
  <si>
    <t>Tipo de IVA:</t>
  </si>
  <si>
    <t>Por favor, ingresa los valores de tus clientes. Esta tabla te mostrará los datos de manera automática en las facturas y en el cuadro de control.
Ingresa el tipo impositivo (IVA) normal que utilices.</t>
  </si>
  <si>
    <t>La presente factura debe ser pagada antes de 30 días después de su emision a la siguiente Cuenta Corriente: 8681012847103847.
Rogamos indique en el asunto de la transferencia el nombre de la empresa y el número de factura.</t>
  </si>
  <si>
    <t>Importe Neto</t>
  </si>
  <si>
    <t>Importe Bruto</t>
  </si>
  <si>
    <t>Total Importe Bruto</t>
  </si>
  <si>
    <t>Mes</t>
  </si>
  <si>
    <t>Año</t>
  </si>
  <si>
    <t>Pagada</t>
  </si>
  <si>
    <t>Total Imp_bruto</t>
  </si>
  <si>
    <t>Hoja de control</t>
  </si>
  <si>
    <t>Estado general de cuenta</t>
  </si>
  <si>
    <t>Estado mensual de cuenta</t>
  </si>
  <si>
    <t>IVA Pagado</t>
  </si>
  <si>
    <t>Introducción</t>
  </si>
  <si>
    <t>Número de factura incicial</t>
  </si>
  <si>
    <r>
      <rPr>
        <b/>
        <sz val="11"/>
        <color theme="1"/>
        <rFont val="Calibri"/>
        <family val="2"/>
        <scheme val="minor"/>
      </rPr>
      <t>Cómo usar este libro</t>
    </r>
    <r>
      <rPr>
        <sz val="10"/>
        <color theme="1"/>
        <rFont val="Calibri"/>
        <family val="2"/>
        <scheme val="minor"/>
      </rPr>
      <t xml:space="preserve">
Este libro está pensado para aquellas personas o empresas pequeñas que quieran llevar una pequeña contabilidad de sus facturas. Para ello hemos simplifcado al máximo las opciones, pero si quieres, coméntanos cómo podemos ayudarte en www.excelyvba.com y estaremos encantados de mejorar este libro.</t>
    </r>
  </si>
  <si>
    <r>
      <rPr>
        <b/>
        <sz val="11"/>
        <color theme="1"/>
        <rFont val="Calibri"/>
        <family val="2"/>
        <scheme val="minor"/>
      </rPr>
      <t>Por dónde empezar</t>
    </r>
    <r>
      <rPr>
        <sz val="10"/>
        <color theme="1"/>
        <rFont val="Calibri"/>
        <family val="2"/>
        <scheme val="minor"/>
      </rPr>
      <t xml:space="preserve">
Para usar este libro lo primero que tienes que hacer es ir a la pestaña 1. General. Una vez ahí debes rellenar tanto tus datos como los de tus clientes. Son los datos mínimos que necesitas para hacer una factura así que los tienes que tener. Si sólo tienes un cliente mejor para ti, menos datos que tienes que insertar. :)
En la pestaña 3. Nueva factura puedes crear nuevas facturas para tus clientes. Los datos de estas facturas se copiarán automáticamente en la pestaña 2. Archivo facturas.
Para controlar tú facturación podrás utilizar la pestaña 2. Archivo facturas y la pestaña 3. Control para ver un resumen de los principales valores de tus facturas pagadas y no pagadas.</t>
    </r>
  </si>
  <si>
    <t>Si</t>
  </si>
  <si>
    <t>IVA a deber</t>
  </si>
  <si>
    <t>www.excelyvba.com</t>
  </si>
  <si>
    <t>Medellín</t>
  </si>
  <si>
    <t>CLL 23 # 23 - 33</t>
  </si>
  <si>
    <t>Antioquia</t>
  </si>
  <si>
    <t>Total general</t>
  </si>
  <si>
    <t>Teléfono</t>
  </si>
  <si>
    <t>NIT:</t>
  </si>
  <si>
    <t>Cantidad</t>
  </si>
  <si>
    <t>Factura Venta N°:</t>
  </si>
  <si>
    <t>Subtotal:</t>
  </si>
  <si>
    <t>Departamento</t>
  </si>
  <si>
    <t>NIT</t>
  </si>
  <si>
    <t>Santander</t>
  </si>
  <si>
    <t>Cúcuta</t>
  </si>
  <si>
    <t>10299384-3</t>
  </si>
  <si>
    <t>CORREO</t>
  </si>
  <si>
    <t>CLIENTE:</t>
  </si>
  <si>
    <t>Valor Total:</t>
  </si>
  <si>
    <t>Facturas</t>
  </si>
  <si>
    <t>base</t>
  </si>
  <si>
    <t>iva</t>
  </si>
  <si>
    <t>Precio</t>
  </si>
  <si>
    <t>Cliente1</t>
  </si>
  <si>
    <t>Cliente2</t>
  </si>
  <si>
    <t>cliente1@gmail.com</t>
  </si>
  <si>
    <t>cliente2@gmail.com</t>
  </si>
  <si>
    <t>Nombre empresa</t>
  </si>
  <si>
    <t>123456789-0</t>
  </si>
  <si>
    <t>Cra 12 # 34 - 56</t>
  </si>
  <si>
    <t>304 123 33 44</t>
  </si>
  <si>
    <t>INSERTAR LOGO AQUÍ</t>
  </si>
  <si>
    <t>Descripción concepto 1</t>
  </si>
  <si>
    <t>Enviada</t>
  </si>
  <si>
    <t>Pago retrasado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</si>
</sst>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 #,##0.00;\-&quot;$&quot;\ #,##0.00"/>
    <numFmt numFmtId="44" formatCode="_-&quot;$&quot;\ * #,##0.00_-;\-&quot;$&quot;\ * #,##0.00_-;_-&quot;$&quot;\ * &quot;-&quot;??_-;_-@_-"/>
    <numFmt numFmtId="164" formatCode="_-* #,##0.00\ [$€-C0A]_-;\-* #,##0.00\ [$€-C0A]_-;_-* &quot;-&quot;??\ [$€-C0A]_-;_-@_-"/>
    <numFmt numFmtId="165" formatCode="[$-C0A]d\-mmm\-yy;@"/>
    <numFmt numFmtId="166" formatCode="_-* #,##0\ [$€-C0A]_-;\-* #,##0\ [$€-C0A]_-;_-* &quot;-&quot;??\ [$€-C0A]_-;_-@_-"/>
  </numFmts>
  <fonts count="24" x14ac:knownFonts="1">
    <font>
      <sz val="11"/>
      <color theme="1"/>
      <name val="Calibri"/>
      <family val="2"/>
      <scheme val="minor"/>
    </font>
    <font>
      <b/>
      <sz val="11"/>
      <color theme="0"/>
      <name val="Calibri"/>
      <family val="2"/>
      <scheme val="minor"/>
    </font>
    <font>
      <sz val="11"/>
      <color theme="1"/>
      <name val="Calibri"/>
      <family val="2"/>
      <scheme val="minor"/>
    </font>
    <font>
      <sz val="11"/>
      <color theme="0"/>
      <name val="Calibri"/>
      <family val="2"/>
      <scheme val="minor"/>
    </font>
    <font>
      <b/>
      <sz val="20"/>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0"/>
      <color theme="1"/>
      <name val="Calibri"/>
      <family val="2"/>
      <scheme val="minor"/>
    </font>
    <font>
      <sz val="9"/>
      <color theme="1"/>
      <name val="Calibri"/>
      <family val="2"/>
      <scheme val="minor"/>
    </font>
    <font>
      <b/>
      <sz val="14"/>
      <color theme="1"/>
      <name val="Calibri"/>
      <family val="2"/>
      <scheme val="minor"/>
    </font>
    <font>
      <sz val="10"/>
      <color theme="1" tint="0.34998626667073579"/>
      <name val="Calibri"/>
      <family val="2"/>
      <scheme val="minor"/>
    </font>
    <font>
      <i/>
      <sz val="11"/>
      <color theme="0" tint="-0.499984740745262"/>
      <name val="Calibri"/>
      <family val="2"/>
      <scheme val="minor"/>
    </font>
    <font>
      <b/>
      <sz val="18"/>
      <color theme="1"/>
      <name val="Calibri"/>
      <family val="2"/>
      <scheme val="minor"/>
    </font>
    <font>
      <sz val="11"/>
      <color rgb="FF000000"/>
      <name val="Calibri"/>
      <family val="2"/>
    </font>
    <font>
      <u/>
      <sz val="11"/>
      <color theme="10"/>
      <name val="Calibri"/>
      <family val="2"/>
      <scheme val="minor"/>
    </font>
    <font>
      <u/>
      <sz val="11"/>
      <color theme="0"/>
      <name val="Calibri"/>
      <family val="2"/>
      <scheme val="minor"/>
    </font>
    <font>
      <sz val="9"/>
      <color theme="1"/>
      <name val="Calibri"/>
      <scheme val="minor"/>
    </font>
    <font>
      <b/>
      <i/>
      <sz val="12"/>
      <color theme="1" tint="0.499984740745262"/>
      <name val="Calibri"/>
      <family val="2"/>
      <scheme val="minor"/>
    </font>
    <font>
      <i/>
      <sz val="12"/>
      <color theme="1" tint="0.499984740745262"/>
      <name val="Calibri"/>
      <family val="2"/>
      <scheme val="minor"/>
    </font>
    <font>
      <b/>
      <sz val="12"/>
      <color theme="1" tint="0.34998626667073579"/>
      <name val="Calibri"/>
      <family val="2"/>
      <scheme val="minor"/>
    </font>
    <font>
      <sz val="12"/>
      <color theme="1" tint="0.34998626667073579"/>
      <name val="Calibri"/>
      <family val="2"/>
      <scheme val="minor"/>
    </font>
    <font>
      <i/>
      <sz val="11"/>
      <color theme="1" tint="0.34998626667073579"/>
      <name val="Calibri"/>
      <family val="2"/>
      <scheme val="minor"/>
    </font>
  </fonts>
  <fills count="5">
    <fill>
      <patternFill patternType="none"/>
    </fill>
    <fill>
      <patternFill patternType="gray125"/>
    </fill>
    <fill>
      <patternFill patternType="solid">
        <fgColor rgb="FF00B050"/>
        <bgColor indexed="64"/>
      </patternFill>
    </fill>
    <fill>
      <patternFill patternType="solid">
        <fgColor theme="7"/>
        <bgColor indexed="64"/>
      </patternFill>
    </fill>
    <fill>
      <patternFill patternType="solid">
        <fgColor theme="0" tint="-4.9989318521683403E-2"/>
        <bgColor indexed="64"/>
      </patternFill>
    </fill>
  </fills>
  <borders count="17">
    <border>
      <left/>
      <right/>
      <top/>
      <bottom/>
      <diagonal/>
    </border>
    <border>
      <left/>
      <right/>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top style="thin">
        <color theme="0" tint="-0.499984740745262"/>
      </top>
      <bottom/>
      <diagonal/>
    </border>
    <border>
      <left/>
      <right/>
      <top style="thin">
        <color theme="1" tint="0.499984740745262"/>
      </top>
      <bottom/>
      <diagonal/>
    </border>
    <border>
      <left/>
      <right/>
      <top style="double">
        <color theme="0" tint="-0.499984740745262"/>
      </top>
      <bottom/>
      <diagonal/>
    </border>
    <border>
      <left/>
      <right style="thin">
        <color indexed="64"/>
      </right>
      <top/>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9" fontId="2" fillId="0" borderId="0" applyFont="0" applyFill="0" applyBorder="0" applyAlignment="0" applyProtection="0"/>
    <xf numFmtId="0" fontId="16" fillId="0" borderId="0" applyNumberFormat="0" applyFill="0" applyBorder="0" applyAlignment="0" applyProtection="0"/>
    <xf numFmtId="44" fontId="2" fillId="0" borderId="0" applyFont="0" applyFill="0" applyBorder="0" applyAlignment="0" applyProtection="0"/>
  </cellStyleXfs>
  <cellXfs count="105">
    <xf numFmtId="0" fontId="0" fillId="0" borderId="0" xfId="0"/>
    <xf numFmtId="0" fontId="0" fillId="0" borderId="0" xfId="0" applyAlignment="1">
      <alignment horizontal="left"/>
    </xf>
    <xf numFmtId="0" fontId="3" fillId="2" borderId="0" xfId="0" applyFont="1" applyFill="1"/>
    <xf numFmtId="0" fontId="4" fillId="2" borderId="0" xfId="0" applyFont="1" applyFill="1"/>
    <xf numFmtId="0" fontId="8" fillId="0" borderId="0" xfId="0" applyFont="1"/>
    <xf numFmtId="0" fontId="9" fillId="0" borderId="0" xfId="0" applyFont="1"/>
    <xf numFmtId="0" fontId="8" fillId="4" borderId="2" xfId="0" applyFont="1" applyFill="1" applyBorder="1" applyAlignment="1">
      <alignment horizontal="center"/>
    </xf>
    <xf numFmtId="0" fontId="10" fillId="0" borderId="0" xfId="0" applyFont="1"/>
    <xf numFmtId="0" fontId="6" fillId="3" borderId="1" xfId="0" applyFont="1" applyFill="1" applyBorder="1"/>
    <xf numFmtId="0" fontId="7" fillId="3" borderId="1" xfId="0" applyFont="1" applyFill="1" applyBorder="1"/>
    <xf numFmtId="0" fontId="11" fillId="0" borderId="0" xfId="0" applyFont="1"/>
    <xf numFmtId="0" fontId="12" fillId="0" borderId="0" xfId="0" applyFont="1"/>
    <xf numFmtId="0" fontId="12" fillId="0" borderId="0" xfId="0" applyFont="1" applyAlignment="1">
      <alignment horizontal="left" indent="1"/>
    </xf>
    <xf numFmtId="0" fontId="5" fillId="0" borderId="0" xfId="0" applyFont="1"/>
    <xf numFmtId="0" fontId="5" fillId="0" borderId="5" xfId="0" applyFont="1" applyBorder="1"/>
    <xf numFmtId="0" fontId="0" fillId="0" borderId="5" xfId="0" applyBorder="1"/>
    <xf numFmtId="9" fontId="8" fillId="4" borderId="2" xfId="1" applyFont="1" applyFill="1" applyBorder="1" applyAlignment="1">
      <alignment horizontal="center"/>
    </xf>
    <xf numFmtId="0" fontId="9" fillId="0" borderId="0" xfId="0" applyFont="1" applyAlignment="1">
      <alignment horizontal="right"/>
    </xf>
    <xf numFmtId="0" fontId="0" fillId="0" borderId="0" xfId="0" applyAlignment="1">
      <alignment horizontal="right"/>
    </xf>
    <xf numFmtId="0" fontId="7" fillId="0" borderId="6" xfId="0" applyFont="1" applyBorder="1"/>
    <xf numFmtId="0" fontId="6" fillId="0" borderId="6" xfId="0" applyFont="1" applyBorder="1" applyAlignment="1">
      <alignment horizontal="right"/>
    </xf>
    <xf numFmtId="0" fontId="10" fillId="0" borderId="4" xfId="0" applyFont="1" applyBorder="1" applyAlignment="1">
      <alignment horizontal="left"/>
    </xf>
    <xf numFmtId="164" fontId="10" fillId="0" borderId="4" xfId="0" applyNumberFormat="1" applyFont="1" applyBorder="1" applyAlignment="1">
      <alignment horizontal="left"/>
    </xf>
    <xf numFmtId="166" fontId="0" fillId="0" borderId="0" xfId="0" applyNumberFormat="1"/>
    <xf numFmtId="0" fontId="10" fillId="0" borderId="4" xfId="0" applyNumberFormat="1" applyFont="1" applyBorder="1" applyAlignment="1">
      <alignment horizontal="center"/>
    </xf>
    <xf numFmtId="0" fontId="5" fillId="3" borderId="0" xfId="0" applyFont="1" applyFill="1"/>
    <xf numFmtId="0" fontId="8" fillId="0" borderId="0" xfId="0" pivotButton="1" applyFont="1"/>
    <xf numFmtId="0" fontId="8" fillId="0" borderId="0" xfId="0" applyFont="1" applyAlignment="1">
      <alignment horizontal="left"/>
    </xf>
    <xf numFmtId="166" fontId="8" fillId="0" borderId="0" xfId="0" applyNumberFormat="1" applyFont="1"/>
    <xf numFmtId="164" fontId="10" fillId="0" borderId="0" xfId="0" applyNumberFormat="1" applyFont="1" applyBorder="1" applyAlignment="1">
      <alignment horizontal="left"/>
    </xf>
    <xf numFmtId="0" fontId="1" fillId="2" borderId="0" xfId="0" applyFont="1" applyFill="1" applyAlignment="1">
      <alignment horizontal="center" vertical="center" wrapText="1"/>
    </xf>
    <xf numFmtId="0" fontId="1" fillId="3" borderId="0" xfId="0" applyFont="1" applyFill="1" applyAlignment="1">
      <alignment horizontal="center" vertical="center" wrapText="1"/>
    </xf>
    <xf numFmtId="14" fontId="1" fillId="3" borderId="0" xfId="0" applyNumberFormat="1" applyFont="1" applyFill="1" applyAlignment="1">
      <alignment horizontal="center" vertical="center" wrapText="1"/>
    </xf>
    <xf numFmtId="0" fontId="0" fillId="0" borderId="0" xfId="0" applyAlignment="1">
      <alignment horizontal="left" vertical="center" wrapText="1"/>
    </xf>
    <xf numFmtId="0" fontId="10" fillId="0" borderId="4" xfId="0" applyFont="1" applyBorder="1" applyAlignment="1">
      <alignment horizontal="center"/>
    </xf>
    <xf numFmtId="165" fontId="10" fillId="0" borderId="4" xfId="0" applyNumberFormat="1" applyFont="1" applyBorder="1" applyAlignment="1">
      <alignment horizontal="center"/>
    </xf>
    <xf numFmtId="0" fontId="16" fillId="0" borderId="0" xfId="2"/>
    <xf numFmtId="0" fontId="17" fillId="2" borderId="0" xfId="2" applyFont="1" applyFill="1"/>
    <xf numFmtId="44" fontId="8" fillId="0" borderId="0" xfId="0" applyNumberFormat="1" applyFont="1"/>
    <xf numFmtId="44" fontId="8" fillId="0" borderId="0" xfId="3" applyFont="1"/>
    <xf numFmtId="44" fontId="6" fillId="0" borderId="6" xfId="3" applyFont="1" applyBorder="1"/>
    <xf numFmtId="0" fontId="0" fillId="0" borderId="0" xfId="0" applyBorder="1"/>
    <xf numFmtId="0" fontId="0" fillId="0" borderId="7" xfId="0" applyBorder="1"/>
    <xf numFmtId="0" fontId="0" fillId="0" borderId="12" xfId="0" applyBorder="1"/>
    <xf numFmtId="0" fontId="0" fillId="0" borderId="13" xfId="0" applyBorder="1"/>
    <xf numFmtId="0" fontId="12" fillId="0" borderId="0" xfId="0" applyFont="1" applyFill="1" applyBorder="1" applyAlignment="1">
      <alignment horizontal="center" vertical="center" wrapText="1"/>
    </xf>
    <xf numFmtId="44" fontId="10" fillId="0" borderId="4" xfId="3" applyFont="1" applyBorder="1" applyAlignment="1">
      <alignment horizontal="left"/>
    </xf>
    <xf numFmtId="0" fontId="0" fillId="0" borderId="0" xfId="0" applyBorder="1" applyAlignment="1">
      <alignment horizontal="center" vertical="center"/>
    </xf>
    <xf numFmtId="44" fontId="12" fillId="0" borderId="8" xfId="3" applyFont="1" applyFill="1" applyBorder="1" applyAlignment="1">
      <alignment horizontal="center" vertical="center" wrapText="1"/>
    </xf>
    <xf numFmtId="44" fontId="0" fillId="0" borderId="12" xfId="3" applyFont="1" applyBorder="1" applyAlignment="1">
      <alignment horizontal="center" vertical="center"/>
    </xf>
    <xf numFmtId="0" fontId="21" fillId="0" borderId="0" xfId="0" applyFont="1" applyAlignment="1">
      <alignment horizontal="left" indent="1"/>
    </xf>
    <xf numFmtId="15" fontId="21" fillId="0" borderId="0" xfId="0" applyNumberFormat="1" applyFont="1" applyAlignment="1">
      <alignment horizontal="left" indent="1"/>
    </xf>
    <xf numFmtId="44" fontId="12" fillId="4" borderId="8" xfId="3" applyFont="1" applyFill="1" applyBorder="1" applyAlignment="1">
      <alignment horizontal="center" vertical="center" wrapText="1"/>
    </xf>
    <xf numFmtId="0" fontId="14" fillId="0" borderId="8" xfId="0" applyFont="1" applyBorder="1"/>
    <xf numFmtId="0" fontId="22" fillId="0" borderId="8" xfId="0" applyFont="1" applyBorder="1" applyAlignment="1">
      <alignment horizontal="left"/>
    </xf>
    <xf numFmtId="0" fontId="12" fillId="0" borderId="0" xfId="0" applyFont="1" applyBorder="1" applyAlignment="1">
      <alignment horizontal="left" indent="1"/>
    </xf>
    <xf numFmtId="0" fontId="0" fillId="0" borderId="11" xfId="0" applyBorder="1"/>
    <xf numFmtId="0" fontId="0" fillId="0" borderId="9" xfId="0" applyBorder="1"/>
    <xf numFmtId="0" fontId="0" fillId="0" borderId="10" xfId="0" applyBorder="1"/>
    <xf numFmtId="0" fontId="12" fillId="0" borderId="7" xfId="0" applyFont="1" applyBorder="1" applyAlignment="1">
      <alignment horizontal="left" indent="1"/>
    </xf>
    <xf numFmtId="0" fontId="5" fillId="0" borderId="0" xfId="0" applyFont="1" applyAlignment="1">
      <alignment horizontal="center"/>
    </xf>
    <xf numFmtId="0" fontId="7" fillId="0" borderId="0" xfId="0" applyFont="1"/>
    <xf numFmtId="0" fontId="7" fillId="0" borderId="0" xfId="0" applyFont="1" applyAlignment="1">
      <alignment horizontal="center"/>
    </xf>
    <xf numFmtId="7" fontId="10" fillId="0" borderId="4" xfId="3" applyNumberFormat="1" applyFont="1" applyBorder="1" applyAlignment="1">
      <alignment horizontal="left"/>
    </xf>
    <xf numFmtId="0" fontId="22" fillId="0" borderId="14" xfId="0" applyFont="1" applyBorder="1" applyAlignment="1">
      <alignment horizontal="left"/>
    </xf>
    <xf numFmtId="0" fontId="7" fillId="0" borderId="0" xfId="0" applyFont="1" applyAlignment="1">
      <alignment horizontal="center" vertical="center"/>
    </xf>
    <xf numFmtId="0" fontId="7" fillId="0" borderId="0" xfId="0" applyFont="1" applyAlignment="1">
      <alignment horizontal="left" vertical="center"/>
    </xf>
    <xf numFmtId="0" fontId="16" fillId="0" borderId="0" xfId="2" applyAlignment="1">
      <alignment horizontal="left" vertical="center"/>
    </xf>
    <xf numFmtId="0" fontId="12" fillId="0" borderId="0" xfId="0" applyFont="1" applyAlignment="1">
      <alignment horizontal="left" vertical="center"/>
    </xf>
    <xf numFmtId="0" fontId="22" fillId="0" borderId="0" xfId="0" applyFont="1" applyBorder="1" applyAlignment="1">
      <alignment horizontal="left"/>
    </xf>
    <xf numFmtId="0" fontId="10" fillId="0" borderId="0" xfId="0" applyFont="1" applyBorder="1" applyAlignment="1">
      <alignment horizontal="left"/>
    </xf>
    <xf numFmtId="0" fontId="10" fillId="0" borderId="0" xfId="0" applyFont="1" applyBorder="1" applyAlignment="1">
      <alignment horizontal="center"/>
    </xf>
    <xf numFmtId="165" fontId="10" fillId="0" borderId="0" xfId="0" applyNumberFormat="1" applyFont="1" applyBorder="1" applyAlignment="1">
      <alignment horizontal="center"/>
    </xf>
    <xf numFmtId="44" fontId="10" fillId="0" borderId="0" xfId="3" applyFont="1" applyBorder="1" applyAlignment="1">
      <alignment horizontal="left"/>
    </xf>
    <xf numFmtId="0" fontId="10" fillId="0" borderId="0" xfId="0" applyNumberFormat="1" applyFont="1" applyBorder="1" applyAlignment="1">
      <alignment horizontal="center"/>
    </xf>
    <xf numFmtId="0" fontId="18" fillId="0" borderId="0" xfId="0" applyFont="1" applyBorder="1" applyAlignment="1">
      <alignment horizontal="left"/>
    </xf>
    <xf numFmtId="0" fontId="18" fillId="0" borderId="0" xfId="0" applyFont="1" applyBorder="1" applyAlignment="1">
      <alignment horizontal="center"/>
    </xf>
    <xf numFmtId="165" fontId="18" fillId="0" borderId="0" xfId="0" applyNumberFormat="1" applyFont="1" applyBorder="1" applyAlignment="1">
      <alignment horizontal="center"/>
    </xf>
    <xf numFmtId="44" fontId="18" fillId="0" borderId="0" xfId="3" applyFont="1" applyBorder="1" applyAlignment="1">
      <alignment horizontal="left"/>
    </xf>
    <xf numFmtId="164" fontId="18" fillId="0" borderId="0" xfId="0" applyNumberFormat="1" applyFont="1" applyBorder="1" applyAlignment="1">
      <alignment horizontal="left"/>
    </xf>
    <xf numFmtId="0" fontId="18" fillId="0" borderId="0" xfId="0" applyNumberFormat="1" applyFont="1" applyBorder="1" applyAlignment="1">
      <alignment horizontal="center"/>
    </xf>
    <xf numFmtId="7" fontId="18" fillId="0" borderId="0" xfId="3" applyNumberFormat="1" applyFont="1" applyBorder="1" applyAlignment="1">
      <alignment horizontal="left"/>
    </xf>
    <xf numFmtId="7" fontId="10" fillId="0" borderId="0" xfId="3" applyNumberFormat="1" applyFont="1" applyBorder="1" applyAlignment="1">
      <alignment horizontal="left"/>
    </xf>
    <xf numFmtId="0" fontId="0" fillId="4" borderId="0" xfId="0" applyFill="1" applyBorder="1" applyAlignment="1">
      <alignment horizontal="center" vertical="center"/>
    </xf>
    <xf numFmtId="0" fontId="0" fillId="0" borderId="0" xfId="0" applyFill="1" applyBorder="1" applyAlignment="1">
      <alignment horizontal="center" vertical="center"/>
    </xf>
    <xf numFmtId="44" fontId="0" fillId="4" borderId="0" xfId="3" applyFont="1" applyFill="1" applyBorder="1" applyAlignment="1">
      <alignment horizontal="center" vertical="center"/>
    </xf>
    <xf numFmtId="1" fontId="12" fillId="4" borderId="15" xfId="0" applyNumberFormat="1" applyFont="1" applyFill="1" applyBorder="1" applyAlignment="1">
      <alignment horizontal="center" vertical="center" wrapText="1"/>
    </xf>
    <xf numFmtId="1" fontId="12" fillId="0" borderId="15" xfId="0" applyNumberFormat="1" applyFont="1" applyFill="1" applyBorder="1" applyAlignment="1">
      <alignment horizontal="center" vertical="center" wrapText="1"/>
    </xf>
    <xf numFmtId="1" fontId="0" fillId="0" borderId="16" xfId="0" applyNumberFormat="1" applyBorder="1" applyAlignment="1">
      <alignment horizontal="center" vertical="center"/>
    </xf>
    <xf numFmtId="44" fontId="0" fillId="0" borderId="0" xfId="3" applyFont="1" applyFill="1" applyBorder="1" applyAlignment="1">
      <alignment horizontal="center" vertical="center"/>
    </xf>
    <xf numFmtId="0" fontId="8" fillId="0" borderId="0" xfId="0" applyFont="1" applyAlignment="1">
      <alignment horizontal="left" vertical="center" wrapText="1"/>
    </xf>
    <xf numFmtId="0" fontId="19" fillId="4" borderId="0" xfId="0" applyFont="1" applyFill="1" applyAlignment="1">
      <alignment horizontal="center"/>
    </xf>
    <xf numFmtId="0" fontId="20" fillId="4" borderId="0" xfId="0" applyFont="1" applyFill="1" applyAlignment="1">
      <alignment horizontal="center" wrapText="1"/>
    </xf>
    <xf numFmtId="0" fontId="20" fillId="4" borderId="0" xfId="0" applyFont="1" applyFill="1" applyAlignment="1">
      <alignment horizontal="center"/>
    </xf>
    <xf numFmtId="0" fontId="8" fillId="4" borderId="2" xfId="0" applyFont="1" applyFill="1" applyBorder="1" applyAlignment="1">
      <alignment horizontal="center"/>
    </xf>
    <xf numFmtId="0" fontId="8" fillId="4" borderId="3" xfId="0" applyFont="1" applyFill="1" applyBorder="1" applyAlignment="1">
      <alignment horizontal="center"/>
    </xf>
    <xf numFmtId="0" fontId="22" fillId="0" borderId="0" xfId="0" applyFont="1" applyBorder="1" applyAlignment="1">
      <alignment horizontal="center"/>
    </xf>
    <xf numFmtId="0" fontId="22" fillId="0" borderId="7" xfId="0" applyFont="1" applyBorder="1" applyAlignment="1">
      <alignment horizontal="center"/>
    </xf>
    <xf numFmtId="0" fontId="20" fillId="0" borderId="0" xfId="0" applyFont="1" applyAlignment="1">
      <alignment horizontal="center"/>
    </xf>
    <xf numFmtId="0" fontId="23" fillId="0" borderId="0" xfId="0" applyFont="1" applyFill="1" applyBorder="1" applyAlignment="1">
      <alignment horizontal="center" vertical="center" wrapText="1"/>
    </xf>
    <xf numFmtId="0" fontId="12" fillId="4" borderId="0"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0" fillId="0" borderId="12" xfId="0" applyBorder="1" applyAlignment="1">
      <alignment horizontal="left" vertical="center"/>
    </xf>
    <xf numFmtId="0" fontId="0" fillId="0" borderId="13" xfId="0" applyBorder="1" applyAlignment="1">
      <alignment horizontal="left" vertical="center"/>
    </xf>
    <xf numFmtId="0" fontId="13" fillId="4" borderId="0" xfId="0" applyFont="1" applyFill="1" applyAlignment="1">
      <alignment horizontal="center" vertical="center"/>
    </xf>
  </cellXfs>
  <cellStyles count="4">
    <cellStyle name="Hipervínculo" xfId="2" builtinId="8"/>
    <cellStyle name="Moneda" xfId="3" builtinId="4"/>
    <cellStyle name="Normal" xfId="0" builtinId="0"/>
    <cellStyle name="Porcentaje" xfId="1" builtinId="5"/>
  </cellStyles>
  <dxfs count="120">
    <dxf>
      <numFmt numFmtId="166" formatCode="_-* #,##0\ [$€-C0A]_-;\-* #,##0\ [$€-C0A]_-;_-* &quot;-&quot;??\ [$€-C0A]_-;_-@_-"/>
    </dxf>
    <dxf>
      <font>
        <sz val="10"/>
      </font>
    </dxf>
    <dxf>
      <font>
        <sz val="10"/>
      </font>
    </dxf>
    <dxf>
      <font>
        <sz val="10"/>
      </font>
    </dxf>
    <dxf>
      <font>
        <sz val="10"/>
      </font>
    </dxf>
    <dxf>
      <font>
        <sz val="10"/>
      </font>
    </dxf>
    <dxf>
      <font>
        <sz val="10"/>
      </font>
    </dxf>
    <dxf>
      <numFmt numFmtId="34" formatCode="_-&quot;$&quot;\ * #,##0.00_-;\-&quot;$&quot;\ * #,##0.00_-;_-&quot;$&quot;\ * &quot;-&quot;??_-;_-@_-"/>
    </dxf>
    <dxf>
      <numFmt numFmtId="166" formatCode="_-* #,##0\ [$€-C0A]_-;\-* #,##0\ [$€-C0A]_-;_-* &quot;-&quot;??\ [$€-C0A]_-;_-@_-"/>
    </dxf>
    <dxf>
      <font>
        <sz val="10"/>
      </font>
    </dxf>
    <dxf>
      <font>
        <sz val="10"/>
      </font>
    </dxf>
    <dxf>
      <font>
        <sz val="10"/>
      </font>
    </dxf>
    <dxf>
      <font>
        <sz val="10"/>
      </font>
    </dxf>
    <dxf>
      <font>
        <sz val="10"/>
      </font>
    </dxf>
    <dxf>
      <font>
        <sz val="10"/>
      </font>
    </dxf>
    <dxf>
      <numFmt numFmtId="34" formatCode="_-&quot;$&quot;\ * #,##0.00_-;\-&quot;$&quot;\ * #,##0.00_-;_-&quot;$&quot;\ * &quot;-&quot;??_-;_-@_-"/>
    </dxf>
    <dxf>
      <numFmt numFmtId="34" formatCode="_-&quot;$&quot;\ * #,##0.00_-;\-&quot;$&quot;\ * #,##0.00_-;_-&quot;$&quot;\ * &quot;-&quot;??_-;_-@_-"/>
    </dxf>
    <dxf>
      <numFmt numFmtId="166" formatCode="_-* #,##0\ [$€-C0A]_-;\-* #,##0\ [$€-C0A]_-;_-* &quot;-&quot;??\ [$€-C0A]_-;_-@_-"/>
    </dxf>
    <dxf>
      <font>
        <sz val="10"/>
      </font>
    </dxf>
    <dxf>
      <font>
        <sz val="10"/>
      </font>
    </dxf>
    <dxf>
      <font>
        <sz val="10"/>
      </font>
    </dxf>
    <dxf>
      <font>
        <sz val="10"/>
      </font>
    </dxf>
    <dxf>
      <font>
        <sz val="10"/>
      </font>
    </dxf>
    <dxf>
      <font>
        <sz val="10"/>
      </font>
    </dxf>
    <dxf>
      <numFmt numFmtId="34" formatCode="_-&quot;$&quot;\ * #,##0.00_-;\-&quot;$&quot;\ * #,##0.00_-;_-&quot;$&quot;\ * &quot;-&quot;??_-;_-@_-"/>
    </dxf>
    <dxf>
      <numFmt numFmtId="166" formatCode="_-* #,##0\ [$€-C0A]_-;\-* #,##0\ [$€-C0A]_-;_-* &quot;-&quot;??\ [$€-C0A]_-;_-@_-"/>
    </dxf>
    <dxf>
      <font>
        <sz val="10"/>
      </font>
    </dxf>
    <dxf>
      <font>
        <sz val="10"/>
      </font>
    </dxf>
    <dxf>
      <font>
        <sz val="10"/>
      </font>
    </dxf>
    <dxf>
      <font>
        <sz val="10"/>
      </font>
    </dxf>
    <dxf>
      <font>
        <sz val="10"/>
      </font>
    </dxf>
    <dxf>
      <numFmt numFmtId="34" formatCode="_-&quot;$&quot;\ * #,##0.00_-;\-&quot;$&quot;\ * #,##0.00_-;_-&quot;$&quot;\ * &quot;-&quot;??_-;_-@_-"/>
    </dxf>
    <dxf>
      <numFmt numFmtId="166" formatCode="_-* #,##0\ [$€-C0A]_-;\-* #,##0\ [$€-C0A]_-;_-* &quot;-&quot;??\ [$€-C0A]_-;_-@_-"/>
    </dxf>
    <dxf>
      <font>
        <sz val="10"/>
      </font>
    </dxf>
    <dxf>
      <font>
        <sz val="10"/>
      </font>
    </dxf>
    <dxf>
      <font>
        <sz val="10"/>
      </font>
    </dxf>
    <dxf>
      <font>
        <sz val="10"/>
      </font>
    </dxf>
    <dxf>
      <font>
        <sz val="10"/>
      </font>
    </dxf>
    <dxf>
      <font>
        <sz val="10"/>
      </font>
    </dxf>
    <dxf>
      <numFmt numFmtId="34" formatCode="_-&quot;$&quot;\ * #,##0.00_-;\-&quot;$&quot;\ * #,##0.00_-;_-&quot;$&quot;\ * &quot;-&quot;??_-;_-@_-"/>
    </dxf>
    <dxf>
      <numFmt numFmtId="166" formatCode="_-* #,##0\ [$€-C0A]_-;\-* #,##0\ [$€-C0A]_-;_-* &quot;-&quot;??\ [$€-C0A]_-;_-@_-"/>
    </dxf>
    <dxf>
      <font>
        <sz val="10"/>
      </font>
    </dxf>
    <dxf>
      <font>
        <sz val="10"/>
      </font>
    </dxf>
    <dxf>
      <font>
        <sz val="10"/>
      </font>
    </dxf>
    <dxf>
      <font>
        <sz val="10"/>
      </font>
    </dxf>
    <dxf>
      <font>
        <sz val="10"/>
      </font>
    </dxf>
    <dxf>
      <font>
        <sz val="10"/>
      </font>
    </dxf>
    <dxf>
      <numFmt numFmtId="34" formatCode="_-&quot;$&quot;\ * #,##0.00_-;\-&quot;$&quot;\ * #,##0.00_-;_-&quot;$&quot;\ * &quot;-&quot;??_-;_-@_-"/>
    </dxf>
    <dxf>
      <numFmt numFmtId="34" formatCode="_-&quot;$&quot;\ * #,##0.00_-;\-&quot;$&quot;\ * #,##0.00_-;_-&quot;$&quot;\ * &quot;-&quot;??_-;_-@_-"/>
    </dxf>
    <dxf>
      <numFmt numFmtId="166" formatCode="_-* #,##0\ [$€-C0A]_-;\-* #,##0\ [$€-C0A]_-;_-* &quot;-&quot;??\ [$€-C0A]_-;_-@_-"/>
    </dxf>
    <dxf>
      <font>
        <sz val="10"/>
      </font>
    </dxf>
    <dxf>
      <font>
        <sz val="10"/>
      </font>
    </dxf>
    <dxf>
      <font>
        <sz val="10"/>
      </font>
    </dxf>
    <dxf>
      <font>
        <sz val="10"/>
      </font>
    </dxf>
    <dxf>
      <font>
        <sz val="10"/>
      </font>
    </dxf>
    <dxf>
      <font>
        <sz val="10"/>
      </font>
    </dxf>
    <dxf>
      <numFmt numFmtId="34" formatCode="_-&quot;$&quot;\ * #,##0.00_-;\-&quot;$&quot;\ * #,##0.00_-;_-&quot;$&quot;\ * &quot;-&quot;??_-;_-@_-"/>
    </dxf>
    <dxf>
      <numFmt numFmtId="166" formatCode="_-* #,##0\ [$€-C0A]_-;\-* #,##0\ [$€-C0A]_-;_-* &quot;-&quot;??\ [$€-C0A]_-;_-@_-"/>
    </dxf>
    <dxf>
      <font>
        <sz val="10"/>
      </font>
    </dxf>
    <dxf>
      <font>
        <sz val="10"/>
      </font>
    </dxf>
    <dxf>
      <font>
        <sz val="10"/>
      </font>
    </dxf>
    <dxf>
      <font>
        <sz val="10"/>
      </font>
    </dxf>
    <dxf>
      <font>
        <sz val="10"/>
      </font>
    </dxf>
    <dxf>
      <numFmt numFmtId="34" formatCode="_-&quot;$&quot;\ * #,##0.00_-;\-&quot;$&quot;\ * #,##0.00_-;_-&quot;$&quot;\ * &quot;-&quot;??_-;_-@_-"/>
    </dxf>
    <dxf>
      <numFmt numFmtId="34" formatCode="_-&quot;$&quot;\ * #,##0.00_-;\-&quot;$&quot;\ * #,##0.00_-;_-&quot;$&quot;\ * &quot;-&quot;??_-;_-@_-"/>
    </dxf>
    <dxf>
      <font>
        <sz val="10"/>
      </font>
    </dxf>
    <dxf>
      <font>
        <sz val="10"/>
      </font>
    </dxf>
    <dxf>
      <font>
        <sz val="10"/>
      </font>
    </dxf>
    <dxf>
      <font>
        <sz val="10"/>
      </font>
    </dxf>
    <dxf>
      <font>
        <sz val="10"/>
      </font>
    </dxf>
    <dxf>
      <numFmt numFmtId="166" formatCode="_-* #,##0\ [$€-C0A]_-;\-* #,##0\ [$€-C0A]_-;_-* &quot;-&quot;??\ [$€-C0A]_-;_-@_-"/>
    </dxf>
    <dxf>
      <numFmt numFmtId="34" formatCode="_-&quot;$&quot;\ * #,##0.00_-;\-&quot;$&quot;\ * #,##0.00_-;_-&quot;$&quot;\ * &quot;-&quot;??_-;_-@_-"/>
    </dxf>
    <dxf>
      <font>
        <sz val="10"/>
      </font>
    </dxf>
    <dxf>
      <font>
        <sz val="10"/>
      </font>
    </dxf>
    <dxf>
      <font>
        <sz val="10"/>
      </font>
    </dxf>
    <dxf>
      <font>
        <sz val="10"/>
      </font>
    </dxf>
    <dxf>
      <font>
        <sz val="10"/>
      </font>
    </dxf>
    <dxf>
      <font>
        <sz val="10"/>
      </font>
    </dxf>
    <dxf>
      <numFmt numFmtId="166" formatCode="_-* #,##0\ [$€-C0A]_-;\-* #,##0\ [$€-C0A]_-;_-* &quot;-&quot;??\ [$€-C0A]_-;_-@_-"/>
    </dxf>
    <dxf>
      <numFmt numFmtId="34" formatCode="_-&quot;$&quot;\ * #,##0.00_-;\-&quot;$&quot;\ * #,##0.00_-;_-&quot;$&quot;\ * &quot;-&quot;??_-;_-@_-"/>
    </dxf>
    <dxf>
      <numFmt numFmtId="34" formatCode="_-&quot;$&quot;\ * #,##0.00_-;\-&quot;$&quot;\ * #,##0.00_-;_-&quot;$&quot;\ * &quot;-&quot;??_-;_-@_-"/>
    </dxf>
    <dxf>
      <font>
        <sz val="10"/>
      </font>
    </dxf>
    <dxf>
      <font>
        <sz val="10"/>
      </font>
    </dxf>
    <dxf>
      <font>
        <sz val="10"/>
      </font>
    </dxf>
    <dxf>
      <font>
        <sz val="10"/>
      </font>
    </dxf>
    <dxf>
      <font>
        <sz val="10"/>
      </font>
    </dxf>
    <dxf>
      <font>
        <sz val="10"/>
      </font>
    </dxf>
    <dxf>
      <numFmt numFmtId="166" formatCode="_-* #,##0\ [$€-C0A]_-;\-* #,##0\ [$€-C0A]_-;_-* &quot;-&quot;??\ [$€-C0A]_-;_-@_-"/>
    </dxf>
    <dxf>
      <numFmt numFmtId="34" formatCode="_-&quot;$&quot;\ * #,##0.00_-;\-&quot;$&quot;\ * #,##0.00_-;_-&quot;$&quot;\ * &quot;-&quot;??_-;_-@_-"/>
    </dxf>
    <dxf>
      <font>
        <sz val="10"/>
      </font>
    </dxf>
    <dxf>
      <font>
        <sz val="10"/>
      </font>
    </dxf>
    <dxf>
      <font>
        <sz val="10"/>
      </font>
    </dxf>
    <dxf>
      <font>
        <sz val="10"/>
      </font>
    </dxf>
    <dxf>
      <font>
        <sz val="10"/>
      </font>
    </dxf>
    <dxf>
      <font>
        <sz val="10"/>
      </font>
    </dxf>
    <dxf>
      <numFmt numFmtId="166" formatCode="_-* #,##0\ [$€-C0A]_-;\-* #,##0\ [$€-C0A]_-;_-* &quot;-&quot;??\ [$€-C0A]_-;_-@_-"/>
    </dxf>
    <dxf>
      <font>
        <b val="0"/>
        <i val="0"/>
        <strike val="0"/>
        <condense val="0"/>
        <extend val="0"/>
        <outline val="0"/>
        <shadow val="0"/>
        <u val="none"/>
        <vertAlign val="baseline"/>
        <sz val="9"/>
        <color theme="1"/>
        <name val="Calibri"/>
        <scheme val="minor"/>
      </font>
      <numFmt numFmtId="0" formatCode="General"/>
      <alignment horizontal="center" vertical="bottom" textRotation="0" wrapText="0" indent="0" justifyLastLine="0" shrinkToFit="0" readingOrder="0"/>
      <border diagonalUp="0" diagonalDown="0" outline="0">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alibri"/>
        <scheme val="minor"/>
      </font>
      <numFmt numFmtId="0" formatCode="General"/>
      <alignment horizontal="center" vertical="bottom" textRotation="0" wrapText="0" indent="0" justifyLastLine="0" shrinkToFit="0" readingOrder="0"/>
      <border diagonalUp="0" diagonalDown="0" outline="0">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alibri"/>
        <scheme val="minor"/>
      </font>
      <numFmt numFmtId="164" formatCode="_-* #,##0.00\ [$€-C0A]_-;\-* #,##0.00\ [$€-C0A]_-;_-* &quot;-&quot;??\ [$€-C0A]_-;_-@_-"/>
      <alignment horizontal="left" vertical="bottom" textRotation="0" wrapText="0" indent="0" justifyLastLine="0" shrinkToFit="0" readingOrder="0"/>
      <border diagonalUp="0" diagonalDown="0">
        <left/>
        <right/>
        <top style="thin">
          <color theme="0" tint="-0.499984740745262"/>
        </top>
        <bottom/>
        <vertical/>
        <horizontal/>
      </border>
    </dxf>
    <dxf>
      <font>
        <b val="0"/>
        <i val="0"/>
        <strike val="0"/>
        <condense val="0"/>
        <extend val="0"/>
        <outline val="0"/>
        <shadow val="0"/>
        <u val="none"/>
        <vertAlign val="baseline"/>
        <sz val="9"/>
        <color theme="1"/>
        <name val="Calibri"/>
        <scheme val="minor"/>
      </font>
      <alignment horizontal="left" vertical="bottom" textRotation="0" wrapText="0" indent="0" justifyLastLine="0" shrinkToFit="0" readingOrder="0"/>
      <border diagonalUp="0" diagonalDown="0">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alibri"/>
        <scheme val="minor"/>
      </font>
      <alignment horizontal="left" vertical="bottom" textRotation="0" wrapText="0" indent="0" justifyLastLine="0" shrinkToFit="0" readingOrder="0"/>
      <border diagonalUp="0" diagonalDown="0">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alibri"/>
        <scheme val="minor"/>
      </font>
      <alignment horizontal="left" vertical="bottom" textRotation="0" wrapText="0" indent="0" justifyLastLine="0" shrinkToFit="0" readingOrder="0"/>
      <border diagonalUp="0" diagonalDown="0">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alibri"/>
        <scheme val="minor"/>
      </font>
      <alignment horizontal="left" vertical="bottom" textRotation="0" wrapText="0" indent="0" justifyLastLine="0" shrinkToFit="0" readingOrder="0"/>
      <border diagonalUp="0" diagonalDown="0" outline="0">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alibri"/>
        <scheme val="minor"/>
      </font>
      <numFmt numFmtId="165" formatCode="[$-C0A]d\-mmm\-yy;@"/>
      <alignment horizontal="center" vertical="bottom" textRotation="0" wrapText="0" indent="0" justifyLastLine="0" shrinkToFit="0" readingOrder="0"/>
      <border diagonalUp="0" diagonalDown="0" outline="0">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alibri"/>
        <scheme val="minor"/>
      </font>
      <alignment horizontal="center" vertical="bottom" textRotation="0" wrapText="0" indent="0" justifyLastLine="0" shrinkToFit="0" readingOrder="0"/>
      <border diagonalUp="0" diagonalDown="0" outline="0">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Calibri"/>
        <scheme val="minor"/>
      </font>
      <alignment horizontal="left" vertical="bottom" textRotation="0" wrapText="0" indent="0" justifyLastLine="0" shrinkToFit="0" readingOrder="0"/>
      <border diagonalUp="0" diagonalDown="0" outline="0">
        <left/>
        <right/>
        <top style="thin">
          <color theme="0" tint="-0.499984740745262"/>
        </top>
        <bottom style="thin">
          <color theme="0" tint="-0.499984740745262"/>
        </bottom>
      </border>
    </dxf>
    <dxf>
      <border outline="0">
        <bottom style="thin">
          <color theme="0" tint="-0.499984740745262"/>
        </bottom>
      </border>
    </dxf>
    <dxf>
      <font>
        <b val="0"/>
        <i val="0"/>
        <strike val="0"/>
        <condense val="0"/>
        <extend val="0"/>
        <outline val="0"/>
        <shadow val="0"/>
        <u val="none"/>
        <vertAlign val="baseline"/>
        <sz val="9"/>
        <color theme="1"/>
        <name val="Calibri"/>
        <scheme val="minor"/>
      </font>
      <alignment horizontal="left"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theme="7"/>
        </patternFill>
      </fill>
      <alignment horizontal="center" vertical="center" textRotation="0" wrapText="1" indent="0" justifyLastLine="0" shrinkToFit="0" readingOrder="0"/>
    </dxf>
    <dxf>
      <font>
        <strike val="0"/>
        <outline val="0"/>
        <shadow val="0"/>
        <u val="none"/>
        <vertAlign val="baseline"/>
        <sz val="12"/>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strike val="0"/>
        <outline val="0"/>
        <shadow val="0"/>
        <u val="none"/>
        <vertAlign val="baseline"/>
        <sz val="12"/>
        <color theme="1"/>
        <name val="Calibri"/>
        <scheme val="minor"/>
      </font>
      <alignment horizontal="center" vertical="bottom" textRotation="0" wrapText="0" indent="0" justifyLastLine="0" shrinkToFit="0" readingOrder="0"/>
    </dxf>
    <dxf>
      <font>
        <strike val="0"/>
        <outline val="0"/>
        <shadow val="0"/>
        <u val="none"/>
        <vertAlign val="baseline"/>
        <sz val="12"/>
        <color theme="1"/>
        <name val="Calibri"/>
        <scheme val="minor"/>
      </font>
    </dxf>
    <dxf>
      <font>
        <strike val="0"/>
        <outline val="0"/>
        <shadow val="0"/>
        <u val="none"/>
        <vertAlign val="baseline"/>
        <sz val="12"/>
        <color theme="1"/>
        <name val="Calibri"/>
        <scheme val="minor"/>
      </font>
    </dxf>
    <dxf>
      <font>
        <strike val="0"/>
        <outline val="0"/>
        <shadow val="0"/>
        <u val="none"/>
        <vertAlign val="baseline"/>
        <sz val="12"/>
        <color theme="1"/>
        <name val="Calibri"/>
        <scheme val="minor"/>
      </font>
    </dxf>
    <dxf>
      <font>
        <strike val="0"/>
        <outline val="0"/>
        <shadow val="0"/>
        <u val="none"/>
        <vertAlign val="baseline"/>
        <sz val="12"/>
        <color theme="1"/>
        <name val="Calibri"/>
        <scheme val="minor"/>
      </font>
    </dxf>
    <dxf>
      <font>
        <strike val="0"/>
        <outline val="0"/>
        <shadow val="0"/>
        <u val="none"/>
        <vertAlign val="baseline"/>
        <sz val="12"/>
        <color theme="1"/>
        <name val="Calibri"/>
        <scheme val="minor"/>
      </font>
    </dxf>
    <dxf>
      <font>
        <strike val="0"/>
        <outline val="0"/>
        <shadow val="0"/>
        <u val="none"/>
        <vertAlign val="baseline"/>
        <sz val="10"/>
        <color theme="1"/>
        <name val="Calibri"/>
        <scheme val="minor"/>
      </font>
    </dxf>
    <dxf>
      <font>
        <b/>
        <color theme="1"/>
      </font>
      <border>
        <bottom style="thin">
          <color theme="6"/>
        </bottom>
        <vertical/>
        <horizontal/>
      </border>
    </dxf>
    <dxf>
      <font>
        <color theme="1"/>
      </font>
      <border diagonalUp="0" diagonalDown="0">
        <left/>
        <right/>
        <top/>
        <bottom/>
        <vertical/>
        <horizontal/>
      </border>
    </dxf>
  </dxfs>
  <tableStyles count="1" defaultTableStyle="TableStyleMedium2" defaultPivotStyle="PivotStyleLight16">
    <tableStyle name="Facturas" pivot="0" table="0" count="10">
      <tableStyleElement type="wholeTable" dxfId="119"/>
      <tableStyleElement type="headerRow" dxfId="118"/>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sz val="10"/>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0"/>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Factura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156883</xdr:colOff>
      <xdr:row>1</xdr:row>
      <xdr:rowOff>33617</xdr:rowOff>
    </xdr:from>
    <xdr:to>
      <xdr:col>10</xdr:col>
      <xdr:colOff>105486</xdr:colOff>
      <xdr:row>5</xdr:row>
      <xdr:rowOff>134470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82471" y="369793"/>
          <a:ext cx="2974191" cy="8628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19050</xdr:colOff>
      <xdr:row>1</xdr:row>
      <xdr:rowOff>38099</xdr:rowOff>
    </xdr:from>
    <xdr:to>
      <xdr:col>13</xdr:col>
      <xdr:colOff>0</xdr:colOff>
      <xdr:row>3</xdr:row>
      <xdr:rowOff>123824</xdr:rowOff>
    </xdr:to>
    <xdr:sp macro="" textlink="">
      <xdr:nvSpPr>
        <xdr:cNvPr id="2" name="TextBox 1"/>
        <xdr:cNvSpPr txBox="1"/>
      </xdr:nvSpPr>
      <xdr:spPr>
        <a:xfrm>
          <a:off x="685800" y="371474"/>
          <a:ext cx="899160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000"/>
            <a:t>Por favor, borra las</a:t>
          </a:r>
          <a:r>
            <a:rPr lang="es-ES" sz="1000" baseline="0"/>
            <a:t> líneas de este recuadro antes de añadir tus propias facturas. Son simplemente un ejemplo para que puedas ve cómo quedan.</a:t>
          </a:r>
        </a:p>
        <a:p>
          <a:pPr algn="l"/>
          <a:r>
            <a:rPr lang="es-ES" sz="1000" baseline="0"/>
            <a:t>Las cabeceras que están en Verde son las que debes ir modificando tú.</a:t>
          </a:r>
          <a:endParaRPr lang="es-ES" sz="10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205453</xdr:colOff>
      <xdr:row>7</xdr:row>
      <xdr:rowOff>157211</xdr:rowOff>
    </xdr:from>
    <xdr:to>
      <xdr:col>7</xdr:col>
      <xdr:colOff>1054473</xdr:colOff>
      <xdr:row>9</xdr:row>
      <xdr:rowOff>40934</xdr:rowOff>
    </xdr:to>
    <xdr:pic>
      <xdr:nvPicPr>
        <xdr:cNvPr id="2" name="image22.png"/>
        <xdr:cNvPicPr/>
      </xdr:nvPicPr>
      <xdr:blipFill rotWithShape="1">
        <a:blip xmlns:r="http://schemas.openxmlformats.org/officeDocument/2006/relationships" r:embed="rId1" cstate="screen">
          <a:alphaModFix amt="50000"/>
          <a:extLst>
            <a:ext uri="{28A0092B-C50C-407E-A947-70E740481C1C}">
              <a14:useLocalDpi xmlns:a14="http://schemas.microsoft.com/office/drawing/2010/main"/>
            </a:ext>
          </a:extLst>
        </a:blip>
        <a:srcRect/>
        <a:stretch/>
      </xdr:blipFill>
      <xdr:spPr>
        <a:xfrm rot="5400000">
          <a:off x="3607233" y="-891334"/>
          <a:ext cx="264723" cy="5409814"/>
        </a:xfrm>
        <a:prstGeom prst="rect">
          <a:avLst/>
        </a:prstGeom>
        <a:ln w="12700">
          <a:miter lim="400000"/>
        </a:ln>
      </xdr:spPr>
    </xdr:pic>
    <xdr:clientData/>
  </xdr:twoCellAnchor>
  <mc:AlternateContent xmlns:mc="http://schemas.openxmlformats.org/markup-compatibility/2006">
    <mc:Choice xmlns:a14="http://schemas.microsoft.com/office/drawing/2010/main" Requires="a14">
      <xdr:twoCellAnchor>
        <xdr:from>
          <xdr:col>11</xdr:col>
          <xdr:colOff>200025</xdr:colOff>
          <xdr:row>1</xdr:row>
          <xdr:rowOff>57150</xdr:rowOff>
        </xdr:from>
        <xdr:to>
          <xdr:col>13</xdr:col>
          <xdr:colOff>390525</xdr:colOff>
          <xdr:row>2</xdr:row>
          <xdr:rowOff>152400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rPr>
                <a:t>Guardar Factura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28575</xdr:colOff>
          <xdr:row>1</xdr:row>
          <xdr:rowOff>57150</xdr:rowOff>
        </xdr:from>
        <xdr:to>
          <xdr:col>16</xdr:col>
          <xdr:colOff>123825</xdr:colOff>
          <xdr:row>2</xdr:row>
          <xdr:rowOff>152400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rPr>
                <a:t>Borrar factura</a:t>
              </a:r>
            </a:p>
          </xdr:txBody>
        </xdr:sp>
        <xdr:clientData fPrintsWithSheet="0"/>
      </xdr:twoCellAnchor>
    </mc:Choice>
    <mc:Fallback/>
  </mc:AlternateContent>
  <xdr:twoCellAnchor>
    <xdr:from>
      <xdr:col>12</xdr:col>
      <xdr:colOff>67236</xdr:colOff>
      <xdr:row>7</xdr:row>
      <xdr:rowOff>13074</xdr:rowOff>
    </xdr:from>
    <xdr:to>
      <xdr:col>19</xdr:col>
      <xdr:colOff>0</xdr:colOff>
      <xdr:row>26</xdr:row>
      <xdr:rowOff>186765</xdr:rowOff>
    </xdr:to>
    <xdr:sp macro="" textlink="">
      <xdr:nvSpPr>
        <xdr:cNvPr id="3" name="TextBox 2"/>
        <xdr:cNvSpPr txBox="1"/>
      </xdr:nvSpPr>
      <xdr:spPr>
        <a:xfrm>
          <a:off x="8325971" y="1537074"/>
          <a:ext cx="4269441" cy="3658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t>Modificación de contenido</a:t>
          </a:r>
        </a:p>
        <a:p>
          <a:r>
            <a:rPr lang="es-ES" sz="1100"/>
            <a:t>En esta hoja sólo necesitarás cambiar:</a:t>
          </a:r>
        </a:p>
        <a:p>
          <a:r>
            <a:rPr lang="es-ES" sz="1100"/>
            <a:t>-El número de factura inicial que se encuentra en la celda M6.</a:t>
          </a:r>
        </a:p>
        <a:p>
          <a:r>
            <a:rPr lang="es-ES" sz="1100"/>
            <a:t>-El logo</a:t>
          </a:r>
          <a:r>
            <a:rPr lang="es-ES" sz="1100" baseline="0"/>
            <a:t> y  el fondo de las celdas donde pone "Insertar logo aquí".</a:t>
          </a:r>
        </a:p>
        <a:p>
          <a:r>
            <a:rPr lang="es-ES" sz="1100" baseline="0"/>
            <a:t>-El nombre del cliente (donde pone Cliente2 ahora mismo).</a:t>
          </a:r>
        </a:p>
        <a:p>
          <a:r>
            <a:rPr lang="es-ES" sz="1100" baseline="0"/>
            <a:t>-El concepto de la factura</a:t>
          </a:r>
        </a:p>
        <a:p>
          <a:r>
            <a:rPr lang="es-ES" sz="1100" baseline="0"/>
            <a:t>-El precio con IVA incluido (para asignar el IVA seleccionelo en la columna K de cada concepto.</a:t>
          </a:r>
        </a:p>
        <a:p>
          <a:r>
            <a:rPr lang="es-ES" sz="1100" baseline="0"/>
            <a:t>-Mensaje para pagar debajo del importe total, en la celda C41 y siguientes.</a:t>
          </a:r>
        </a:p>
        <a:p>
          <a:endParaRPr lang="es-ES" sz="1100" baseline="0"/>
        </a:p>
        <a:p>
          <a:r>
            <a:rPr lang="es-ES" sz="1100" baseline="0"/>
            <a:t>El resto de los campos son automáticos y no necesitan ser cambiados.</a:t>
          </a:r>
        </a:p>
        <a:p>
          <a:endParaRPr lang="es-ES" sz="1100" baseline="0"/>
        </a:p>
        <a:p>
          <a:r>
            <a:rPr lang="es-ES" sz="1100" b="1" baseline="0"/>
            <a:t>Formato</a:t>
          </a:r>
        </a:p>
        <a:p>
          <a:r>
            <a:rPr lang="es-ES" sz="1100" b="0" baseline="0"/>
            <a:t>Puedes cambiar el formato de esta hoja para que aplique al formato que más te gusta a ti. Ahora bien, no deberías cambiar la posición de las celdas para evitar que las macros no funcionen correctamente.</a:t>
          </a:r>
        </a:p>
        <a:p>
          <a:r>
            <a:rPr lang="es-ES" sz="1100" b="0" baseline="0"/>
            <a:t>La parte donde pone tus datos en la parte superior la puedes modificar como más te guste. Recuerda, un toque de personalización bien, pero no pongas mil "colorines". Las facturas son una cosa seria.</a:t>
          </a:r>
          <a:endParaRPr lang="es-ES" sz="1100" b="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542925</xdr:colOff>
      <xdr:row>1</xdr:row>
      <xdr:rowOff>114301</xdr:rowOff>
    </xdr:from>
    <xdr:to>
      <xdr:col>2</xdr:col>
      <xdr:colOff>885825</xdr:colOff>
      <xdr:row>8</xdr:row>
      <xdr:rowOff>0</xdr:rowOff>
    </xdr:to>
    <mc:AlternateContent xmlns:mc="http://schemas.openxmlformats.org/markup-compatibility/2006" xmlns:a14="http://schemas.microsoft.com/office/drawing/2010/main">
      <mc:Choice Requires="a14">
        <xdr:graphicFrame macro="">
          <xdr:nvGraphicFramePr>
            <xdr:cNvPr id="2" name="Estado"/>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542925" y="447676"/>
              <a:ext cx="1828800" cy="1219199"/>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457200</xdr:colOff>
      <xdr:row>1</xdr:row>
      <xdr:rowOff>123826</xdr:rowOff>
    </xdr:from>
    <xdr:to>
      <xdr:col>5</xdr:col>
      <xdr:colOff>762000</xdr:colOff>
      <xdr:row>5</xdr:row>
      <xdr:rowOff>9525</xdr:rowOff>
    </xdr:to>
    <mc:AlternateContent xmlns:mc="http://schemas.openxmlformats.org/markup-compatibility/2006" xmlns:a14="http://schemas.microsoft.com/office/drawing/2010/main">
      <mc:Choice Requires="a14">
        <xdr:graphicFrame macro="">
          <xdr:nvGraphicFramePr>
            <xdr:cNvPr id="3" name="Mes"/>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4352925" y="457201"/>
              <a:ext cx="1828800" cy="647699"/>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952500</xdr:colOff>
      <xdr:row>1</xdr:row>
      <xdr:rowOff>123825</xdr:rowOff>
    </xdr:from>
    <xdr:to>
      <xdr:col>4</xdr:col>
      <xdr:colOff>371475</xdr:colOff>
      <xdr:row>5</xdr:row>
      <xdr:rowOff>0</xdr:rowOff>
    </xdr:to>
    <mc:AlternateContent xmlns:mc="http://schemas.openxmlformats.org/markup-compatibility/2006" xmlns:a14="http://schemas.microsoft.com/office/drawing/2010/main">
      <mc:Choice Requires="a14">
        <xdr:graphicFrame macro="">
          <xdr:nvGraphicFramePr>
            <xdr:cNvPr id="4" name="Año"/>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2438400" y="457200"/>
              <a:ext cx="1828800" cy="63817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1114425</xdr:colOff>
      <xdr:row>2</xdr:row>
      <xdr:rowOff>47625</xdr:rowOff>
    </xdr:from>
    <xdr:to>
      <xdr:col>8</xdr:col>
      <xdr:colOff>19050</xdr:colOff>
      <xdr:row>7</xdr:row>
      <xdr:rowOff>114300</xdr:rowOff>
    </xdr:to>
    <xdr:sp macro="" textlink="">
      <xdr:nvSpPr>
        <xdr:cNvPr id="5" name="TextBox 4"/>
        <xdr:cNvSpPr txBox="1"/>
      </xdr:nvSpPr>
      <xdr:spPr>
        <a:xfrm>
          <a:off x="6534150" y="571500"/>
          <a:ext cx="3476625"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000"/>
            <a:t>Usa estos filtros para seleccionar la información que quieres visualizar.</a:t>
          </a:r>
        </a:p>
        <a:p>
          <a:r>
            <a:rPr lang="es-ES" sz="1000"/>
            <a:t>Recuerda</a:t>
          </a:r>
          <a:r>
            <a:rPr lang="es-ES" sz="1000" baseline="0"/>
            <a:t> que estas tablas hay que actualizarlas (Ir a Datos&gt;&gt;Actualizar todo) para visualizar los cambios de Estado que realices en la pestaña 2. Archivo Facturas.</a:t>
          </a:r>
          <a:endParaRPr lang="es-ES" sz="1000"/>
        </a:p>
        <a:p>
          <a:endParaRPr lang="es-ES" sz="10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4111.654962731482" createdVersion="5" refreshedVersion="5" minRefreshableVersion="3" recordCount="3">
  <cacheSource type="worksheet">
    <worksheetSource name="TB_Facturas"/>
  </cacheSource>
  <cacheFields count="10">
    <cacheField name="Estado" numFmtId="0">
      <sharedItems containsBlank="1" count="6">
        <s v="Pagada"/>
        <s v="Enviada"/>
        <s v="Pago retrasado"/>
        <m u="1"/>
        <s v="Pendiente" u="1"/>
        <s v="Pago parcial" u="1"/>
      </sharedItems>
    </cacheField>
    <cacheField name="Factura" numFmtId="0">
      <sharedItems containsSemiMixedTypes="0" containsString="0" containsNumber="1" containsInteger="1" minValue="1" maxValue="3"/>
    </cacheField>
    <cacheField name="Fecha" numFmtId="165">
      <sharedItems containsSemiMixedTypes="0" containsNonDate="0" containsDate="1" containsString="0" minDate="2020-10-07T00:00:00" maxDate="2020-10-08T00:00:00"/>
    </cacheField>
    <cacheField name="Cliente" numFmtId="0">
      <sharedItems/>
    </cacheField>
    <cacheField name="Importe Neto" numFmtId="7">
      <sharedItems containsSemiMixedTypes="0" containsString="0" containsNumber="1" minValue="20000" maxValue="120840.34"/>
    </cacheField>
    <cacheField name="IVA" numFmtId="7">
      <sharedItems containsSemiMixedTypes="0" containsString="0" containsNumber="1" minValue="0" maxValue="22959.66"/>
    </cacheField>
    <cacheField name="Importe Bruto" numFmtId="44">
      <sharedItems containsSemiMixedTypes="0" containsString="0" containsNumber="1" containsInteger="1" minValue="20000" maxValue="143800"/>
    </cacheField>
    <cacheField name="IVA Pagado" numFmtId="164">
      <sharedItems containsBlank="1" count="3">
        <s v="Si"/>
        <m u="1"/>
        <s v="No" u="1"/>
      </sharedItems>
    </cacheField>
    <cacheField name="Mes" numFmtId="0">
      <sharedItems containsSemiMixedTypes="0" containsString="0" containsNumber="1" containsInteger="1" minValue="9" maxValue="11" count="3">
        <n v="10"/>
        <n v="9" u="1"/>
        <n v="11" u="1"/>
      </sharedItems>
    </cacheField>
    <cacheField name="Año" numFmtId="0">
      <sharedItems containsSemiMixedTypes="0" containsString="0" containsNumber="1" containsInteger="1" minValue="2015" maxValue="2020" count="2">
        <n v="2020"/>
        <n v="2015"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
  <r>
    <x v="0"/>
    <n v="1"/>
    <d v="2020-10-07T00:00:00"/>
    <s v="Cliente1"/>
    <n v="29705.88"/>
    <n v="5644.12"/>
    <n v="35350"/>
    <x v="0"/>
    <x v="0"/>
    <x v="0"/>
  </r>
  <r>
    <x v="1"/>
    <n v="2"/>
    <d v="2020-10-07T00:00:00"/>
    <s v="Cliente1"/>
    <n v="120840.34"/>
    <n v="22959.66"/>
    <n v="143800"/>
    <x v="0"/>
    <x v="0"/>
    <x v="0"/>
  </r>
  <r>
    <x v="2"/>
    <n v="3"/>
    <d v="2020-10-07T00:00:00"/>
    <s v="Cliente2"/>
    <n v="20000"/>
    <n v="0"/>
    <n v="2000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5" minRefreshableVersion="3" itemPrintTitles="1" createdVersion="5" indent="0" outline="1" outlineData="1" multipleFieldFilters="0" rowHeaderCaption="Mes" colHeaderCaption="Año">
  <location ref="F32:H35" firstHeaderRow="1" firstDataRow="2" firstDataCol="1" rowPageCount="1" colPageCount="1"/>
  <pivotFields count="10">
    <pivotField showAll="0">
      <items count="7">
        <item x="1"/>
        <item m="1" x="3"/>
        <item x="0"/>
        <item m="1" x="5"/>
        <item m="1" x="4"/>
        <item x="2"/>
        <item t="default"/>
      </items>
    </pivotField>
    <pivotField showAll="0"/>
    <pivotField numFmtId="165" showAll="0"/>
    <pivotField showAll="0"/>
    <pivotField numFmtId="164" showAll="0"/>
    <pivotField dataField="1" numFmtId="164" showAll="0"/>
    <pivotField numFmtId="164" showAll="0"/>
    <pivotField axis="axisPage" multipleItemSelectionAllowed="1" showAll="0" defaultSubtotal="0">
      <items count="3">
        <item m="1" x="2"/>
        <item x="0"/>
        <item h="1" m="1" x="1"/>
      </items>
    </pivotField>
    <pivotField axis="axisRow" showAll="0" defaultSubtotal="0">
      <items count="3">
        <item m="1" x="1"/>
        <item x="0"/>
        <item m="1" x="2"/>
      </items>
    </pivotField>
    <pivotField axis="axisCol" showAll="0" defaultSubtotal="0">
      <items count="2">
        <item m="1" x="1"/>
        <item x="0"/>
      </items>
    </pivotField>
  </pivotFields>
  <rowFields count="1">
    <field x="8"/>
  </rowFields>
  <rowItems count="2">
    <i>
      <x v="1"/>
    </i>
    <i t="grand">
      <x/>
    </i>
  </rowItems>
  <colFields count="1">
    <field x="9"/>
  </colFields>
  <colItems count="2">
    <i>
      <x v="1"/>
    </i>
    <i t="grand">
      <x/>
    </i>
  </colItems>
  <pageFields count="1">
    <pageField fld="7" hier="-1"/>
  </pageFields>
  <dataFields count="1">
    <dataField name="IVA a deber" fld="5" baseField="0" baseItem="0" numFmtId="44"/>
  </dataFields>
  <formats count="7">
    <format dxfId="70">
      <pivotArea outline="0" collapsedLevelsAreSubtotals="1" fieldPosition="0"/>
    </format>
    <format dxfId="69">
      <pivotArea type="all" dataOnly="0" outline="0" fieldPosition="0"/>
    </format>
    <format dxfId="68">
      <pivotArea outline="0" collapsedLevelsAreSubtotals="1" fieldPosition="0"/>
    </format>
    <format dxfId="67">
      <pivotArea field="0" type="button" dataOnly="0" labelOnly="1" outline="0"/>
    </format>
    <format dxfId="66">
      <pivotArea dataOnly="0" labelOnly="1" outline="0" axis="axisValues" fieldPosition="0"/>
    </format>
    <format dxfId="65">
      <pivotArea dataOnly="0" labelOnly="1" grandRow="1" outline="0" fieldPosition="0"/>
    </format>
    <format dxfId="64">
      <pivotArea outline="0" collapsedLevelsAreSubtotals="1" fieldPosition="0"/>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5" minRefreshableVersion="3" itemPrintTitles="1" createdVersion="5" indent="0" outline="1" outlineData="1" multipleFieldFilters="0" rowHeaderCaption="Estado">
  <location ref="B32:C36" firstHeaderRow="1" firstDataRow="1" firstDataCol="1" rowPageCount="1" colPageCount="1"/>
  <pivotFields count="10">
    <pivotField axis="axisRow" showAll="0">
      <items count="7">
        <item x="1"/>
        <item m="1" x="3"/>
        <item x="0"/>
        <item m="1" x="5"/>
        <item m="1" x="4"/>
        <item x="2"/>
        <item t="default"/>
      </items>
    </pivotField>
    <pivotField showAll="0"/>
    <pivotField numFmtId="165" showAll="0"/>
    <pivotField showAll="0"/>
    <pivotField numFmtId="164" showAll="0"/>
    <pivotField dataField="1" numFmtId="164" showAll="0"/>
    <pivotField numFmtId="164" showAll="0"/>
    <pivotField axis="axisPage" multipleItemSelectionAllowed="1" showAll="0" defaultSubtotal="0">
      <items count="3">
        <item m="1" x="2"/>
        <item x="0"/>
        <item h="1" m="1" x="1"/>
      </items>
    </pivotField>
    <pivotField showAll="0" defaultSubtotal="0">
      <items count="3">
        <item m="1" x="1"/>
        <item x="0"/>
        <item m="1" x="2"/>
      </items>
    </pivotField>
    <pivotField showAll="0" defaultSubtotal="0">
      <items count="2">
        <item m="1" x="1"/>
        <item x="0"/>
      </items>
    </pivotField>
  </pivotFields>
  <rowFields count="1">
    <field x="0"/>
  </rowFields>
  <rowItems count="4">
    <i>
      <x/>
    </i>
    <i>
      <x v="2"/>
    </i>
    <i>
      <x v="5"/>
    </i>
    <i t="grand">
      <x/>
    </i>
  </rowItems>
  <colItems count="1">
    <i/>
  </colItems>
  <pageFields count="1">
    <pageField fld="7" hier="-1"/>
  </pageFields>
  <dataFields count="1">
    <dataField name="IVA a deber" fld="5" baseField="0" baseItem="0" numFmtId="44"/>
  </dataFields>
  <formats count="8">
    <format dxfId="78">
      <pivotArea outline="0" collapsedLevelsAreSubtotals="1" fieldPosition="0"/>
    </format>
    <format dxfId="77">
      <pivotArea type="all" dataOnly="0" outline="0" fieldPosition="0"/>
    </format>
    <format dxfId="76">
      <pivotArea outline="0" collapsedLevelsAreSubtotals="1" fieldPosition="0"/>
    </format>
    <format dxfId="75">
      <pivotArea field="0" type="button" dataOnly="0" labelOnly="1" outline="0" axis="axisRow" fieldPosition="0"/>
    </format>
    <format dxfId="74">
      <pivotArea dataOnly="0" labelOnly="1" outline="0" axis="axisValues" fieldPosition="0"/>
    </format>
    <format dxfId="73">
      <pivotArea dataOnly="0" labelOnly="1" fieldPosition="0">
        <references count="1">
          <reference field="0" count="0"/>
        </references>
      </pivotArea>
    </format>
    <format dxfId="72">
      <pivotArea dataOnly="0" labelOnly="1" grandRow="1" outline="0" fieldPosition="0"/>
    </format>
    <format dxfId="71">
      <pivotArea outline="0" collapsedLevelsAreSubtotals="1" fieldPosition="0"/>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7" cacheId="12" applyNumberFormats="0" applyBorderFormats="0" applyFontFormats="0" applyPatternFormats="0" applyAlignmentFormats="0" applyWidthHeightFormats="1" dataCaption="Values" grandTotalCaption="Total Imp_bruto" updatedVersion="5" minRefreshableVersion="3" itemPrintTitles="1" createdVersion="5" indent="0" outline="1" outlineData="1" multipleFieldFilters="0" rowHeaderCaption="Año" colHeaderCaption="Mes">
  <location ref="F13:H16" firstHeaderRow="1" firstDataRow="2" firstDataCol="1"/>
  <pivotFields count="10">
    <pivotField showAll="0">
      <items count="7">
        <item x="1"/>
        <item x="0"/>
        <item m="1" x="5"/>
        <item x="2"/>
        <item m="1" x="4"/>
        <item m="1" x="3"/>
        <item t="default"/>
      </items>
    </pivotField>
    <pivotField showAll="0"/>
    <pivotField numFmtId="165" showAll="0"/>
    <pivotField showAll="0"/>
    <pivotField numFmtId="164" showAll="0"/>
    <pivotField numFmtId="164" showAll="0"/>
    <pivotField dataField="1" numFmtId="164" showAll="0"/>
    <pivotField showAll="0" defaultSubtotal="0"/>
    <pivotField axis="axisRow" showAll="0" sortType="ascending" defaultSubtotal="0">
      <items count="3">
        <item m="1" x="1"/>
        <item x="0"/>
        <item m="1" x="2"/>
      </items>
    </pivotField>
    <pivotField axis="axisCol" showAll="0" defaultSubtotal="0">
      <items count="2">
        <item m="1" x="1"/>
        <item x="0"/>
      </items>
    </pivotField>
  </pivotFields>
  <rowFields count="1">
    <field x="8"/>
  </rowFields>
  <rowItems count="2">
    <i>
      <x v="1"/>
    </i>
    <i t="grand">
      <x/>
    </i>
  </rowItems>
  <colFields count="1">
    <field x="9"/>
  </colFields>
  <colItems count="2">
    <i>
      <x v="1"/>
    </i>
    <i t="grand">
      <x/>
    </i>
  </colItems>
  <dataFields count="1">
    <dataField name="Total Importe Bruto" fld="6" baseField="0" baseItem="0" numFmtId="166"/>
  </dataFields>
  <formats count="9">
    <format dxfId="87">
      <pivotArea outline="0" collapsedLevelsAreSubtotals="1" fieldPosition="0"/>
    </format>
    <format dxfId="86">
      <pivotArea type="all" dataOnly="0" outline="0" fieldPosition="0"/>
    </format>
    <format dxfId="85">
      <pivotArea outline="0" collapsedLevelsAreSubtotals="1" fieldPosition="0"/>
    </format>
    <format dxfId="84">
      <pivotArea dataOnly="0" labelOnly="1" fieldPosition="0">
        <references count="1">
          <reference field="8" count="0"/>
        </references>
      </pivotArea>
    </format>
    <format dxfId="83">
      <pivotArea dataOnly="0" labelOnly="1" grandRow="1" outline="0" fieldPosition="0"/>
    </format>
    <format dxfId="82">
      <pivotArea dataOnly="0" labelOnly="1" fieldPosition="0">
        <references count="1">
          <reference field="9" count="0"/>
        </references>
      </pivotArea>
    </format>
    <format dxfId="81">
      <pivotArea dataOnly="0" labelOnly="1" grandCol="1" outline="0" fieldPosition="0"/>
    </format>
    <format dxfId="80">
      <pivotArea outline="0" collapsedLevelsAreSubtotals="1" fieldPosition="0">
        <references count="1">
          <reference field="9" count="0" selected="0"/>
        </references>
      </pivotArea>
    </format>
    <format dxfId="79">
      <pivotArea grandCol="1" outline="0" collapsedLevelsAreSubtotals="1" fieldPosition="0"/>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5" minRefreshableVersion="3" itemPrintTitles="1" createdVersion="5" indent="0" outline="1" outlineData="1" multipleFieldFilters="0" rowHeaderCaption="Estado">
  <location ref="B13:C17" firstHeaderRow="1" firstDataRow="1" firstDataCol="1"/>
  <pivotFields count="10">
    <pivotField axis="axisRow" showAll="0">
      <items count="7">
        <item x="1"/>
        <item m="1" x="3"/>
        <item x="0"/>
        <item m="1" x="5"/>
        <item m="1" x="4"/>
        <item x="2"/>
        <item t="default"/>
      </items>
    </pivotField>
    <pivotField showAll="0"/>
    <pivotField numFmtId="165" showAll="0"/>
    <pivotField showAll="0"/>
    <pivotField numFmtId="164" showAll="0"/>
    <pivotField numFmtId="164" showAll="0"/>
    <pivotField dataField="1" numFmtId="164" showAll="0"/>
    <pivotField showAll="0" defaultSubtotal="0"/>
    <pivotField showAll="0" defaultSubtotal="0">
      <items count="3">
        <item m="1" x="1"/>
        <item x="0"/>
        <item m="1" x="2"/>
      </items>
    </pivotField>
    <pivotField showAll="0" defaultSubtotal="0">
      <items count="2">
        <item m="1" x="1"/>
        <item x="0"/>
      </items>
    </pivotField>
  </pivotFields>
  <rowFields count="1">
    <field x="0"/>
  </rowFields>
  <rowItems count="4">
    <i>
      <x/>
    </i>
    <i>
      <x v="2"/>
    </i>
    <i>
      <x v="5"/>
    </i>
    <i t="grand">
      <x/>
    </i>
  </rowItems>
  <colItems count="1">
    <i/>
  </colItems>
  <dataFields count="1">
    <dataField name="Total Importe Bruto" fld="6" baseField="0" baseItem="0" numFmtId="44"/>
  </dataFields>
  <formats count="8">
    <format dxfId="95">
      <pivotArea outline="0" collapsedLevelsAreSubtotals="1" fieldPosition="0"/>
    </format>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outline="0" axis="axisValues" fieldPosition="0"/>
    </format>
    <format dxfId="90">
      <pivotArea dataOnly="0" labelOnly="1" fieldPosition="0">
        <references count="1">
          <reference field="0" count="0"/>
        </references>
      </pivotArea>
    </format>
    <format dxfId="89">
      <pivotArea dataOnly="0" labelOnly="1" grandRow="1" outline="0" fieldPosition="0"/>
    </format>
    <format dxfId="88">
      <pivotArea outline="0" collapsedLevelsAreSubtotals="1" fieldPosition="0"/>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stado" sourceName="Estado">
  <pivotTables>
    <pivotTable tabId="4" name="PivotTable4"/>
    <pivotTable tabId="4" name="PivotTable7"/>
    <pivotTable tabId="4" name="PivotTable8"/>
    <pivotTable tabId="4" name="PivotTable2"/>
  </pivotTables>
  <data>
    <tabular pivotCacheId="1" showMissing="0">
      <items count="6">
        <i x="1" s="1"/>
        <i x="0" s="1"/>
        <i x="2" s="1"/>
        <i x="5" s="1" nd="1"/>
        <i x="4"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es" sourceName="Mes">
  <pivotTables>
    <pivotTable tabId="4" name="PivotTable4"/>
    <pivotTable tabId="4" name="PivotTable7"/>
    <pivotTable tabId="4" name="PivotTable8"/>
    <pivotTable tabId="4" name="PivotTable2"/>
  </pivotTables>
  <data>
    <tabular pivotCacheId="1">
      <items count="3">
        <i x="0" s="1"/>
        <i x="1" s="1" nd="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ño" sourceName="Año">
  <pivotTables>
    <pivotTable tabId="4" name="PivotTable4"/>
    <pivotTable tabId="4" name="PivotTable7"/>
    <pivotTable tabId="4" name="PivotTable8"/>
    <pivotTable tabId="4" name="PivotTable2"/>
  </pivotTables>
  <data>
    <tabular pivotCacheId="1">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stado" cache="Slicer_Estado" caption="Estado" style="Facturas" rowHeight="241300"/>
  <slicer name="Mes" cache="Slicer_Mes" caption="Mes" columnCount="3" style="Facturas" rowHeight="241300"/>
  <slicer name="Año" cache="Slicer_Año" caption="Año" columnCount="3" style="Facturas" rowHeight="241300"/>
</slicers>
</file>

<file path=xl/tables/table1.xml><?xml version="1.0" encoding="utf-8"?>
<table xmlns="http://schemas.openxmlformats.org/spreadsheetml/2006/main" id="2" name="Clientes" displayName="Clientes" ref="C16:I23" totalsRowShown="0" headerRowDxfId="117" dataDxfId="116">
  <autoFilter ref="C16:I23"/>
  <tableColumns count="7">
    <tableColumn id="1" name="Nombre" dataDxfId="115"/>
    <tableColumn id="2" name="Dirección" dataDxfId="114"/>
    <tableColumn id="3" name="Departamento" dataDxfId="113"/>
    <tableColumn id="4" name="Ciudad" dataDxfId="112"/>
    <tableColumn id="5" name="Teléfono" dataDxfId="111"/>
    <tableColumn id="6" name="NIT" dataDxfId="110"/>
    <tableColumn id="9" name="CORREO" dataDxfId="109"/>
  </tableColumns>
  <tableStyleInfo name="TableStyleMedium4" showFirstColumn="0" showLastColumn="0" showRowStripes="1" showColumnStripes="0"/>
</table>
</file>

<file path=xl/tables/table2.xml><?xml version="1.0" encoding="utf-8"?>
<table xmlns="http://schemas.openxmlformats.org/spreadsheetml/2006/main" id="1" name="TB_Facturas" displayName="TB_Facturas" ref="D5:M8" totalsRowShown="0" headerRowDxfId="108" dataDxfId="107" tableBorderDxfId="106">
  <autoFilter ref="D5:M8"/>
  <tableColumns count="10">
    <tableColumn id="5" name="Estado" dataDxfId="105"/>
    <tableColumn id="1" name="Factura" dataDxfId="104"/>
    <tableColumn id="10" name="Fecha" dataDxfId="103"/>
    <tableColumn id="2" name="Cliente" dataDxfId="102"/>
    <tableColumn id="9" name="Importe Neto" dataDxfId="101" dataCellStyle="Moneda"/>
    <tableColumn id="3" name="IVA" dataDxfId="100" dataCellStyle="Moneda"/>
    <tableColumn id="4" name="Importe Bruto" dataDxfId="99" dataCellStyle="Moneda"/>
    <tableColumn id="14" name="IVA Pagado" dataDxfId="98"/>
    <tableColumn id="11" name="Mes" dataDxfId="97"/>
    <tableColumn id="12" name="Año" dataDxfId="96"/>
  </tableColumns>
  <tableStyleInfo name="TableStyleMedium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excelyvba.co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mailto:cliente2@gmail.com" TargetMode="External"/><Relationship Id="rId2" Type="http://schemas.openxmlformats.org/officeDocument/2006/relationships/hyperlink" Target="mailto:cliente1@gmail.com" TargetMode="External"/><Relationship Id="rId1" Type="http://schemas.openxmlformats.org/officeDocument/2006/relationships/hyperlink" Target="http://www.excelyvba.com/" TargetMode="External"/><Relationship Id="rId5" Type="http://schemas.openxmlformats.org/officeDocument/2006/relationships/table" Target="../tables/table1.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excelyvba.com/" TargetMode="Externa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www.excelyvba.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4.xml"/><Relationship Id="rId5" Type="http://schemas.openxmlformats.org/officeDocument/2006/relationships/hyperlink" Target="http://www.excelyvba.com/" TargetMode="Externa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3"/>
  <sheetViews>
    <sheetView showGridLines="0" zoomScale="85" zoomScaleNormal="85" workbookViewId="0">
      <selection activeCell="B9" sqref="B9:O9"/>
    </sheetView>
  </sheetViews>
  <sheetFormatPr baseColWidth="10" defaultColWidth="0" defaultRowHeight="15" zeroHeight="1" x14ac:dyDescent="0.25"/>
  <cols>
    <col min="1" max="16" width="9.140625" customWidth="1"/>
    <col min="17" max="16384" width="9.140625" hidden="1"/>
  </cols>
  <sheetData>
    <row r="1" spans="1:16" ht="26.25" x14ac:dyDescent="0.4">
      <c r="A1" s="2"/>
      <c r="B1" s="3" t="s">
        <v>33</v>
      </c>
      <c r="C1" s="2"/>
      <c r="D1" s="2"/>
      <c r="E1" s="2"/>
      <c r="F1" s="2"/>
      <c r="G1" s="2"/>
      <c r="H1" s="2"/>
      <c r="I1" s="2"/>
      <c r="J1" s="2"/>
      <c r="K1" s="2"/>
      <c r="L1" s="2"/>
      <c r="M1" s="2"/>
      <c r="N1" s="37" t="s">
        <v>39</v>
      </c>
      <c r="O1" s="2"/>
      <c r="P1" s="2"/>
    </row>
    <row r="2" spans="1:16" x14ac:dyDescent="0.25"/>
    <row r="3" spans="1:16" x14ac:dyDescent="0.25"/>
    <row r="4" spans="1:16" x14ac:dyDescent="0.25"/>
    <row r="5" spans="1:16" x14ac:dyDescent="0.25"/>
    <row r="6" spans="1:16" x14ac:dyDescent="0.25"/>
    <row r="7" spans="1:16" ht="53.25" customHeight="1" x14ac:dyDescent="0.25">
      <c r="B7" s="90" t="s">
        <v>35</v>
      </c>
      <c r="C7" s="90"/>
      <c r="D7" s="90"/>
      <c r="E7" s="90"/>
      <c r="F7" s="90"/>
      <c r="G7" s="90"/>
      <c r="H7" s="90"/>
      <c r="I7" s="90"/>
      <c r="J7" s="90"/>
      <c r="K7" s="90"/>
      <c r="L7" s="90"/>
      <c r="M7" s="90"/>
      <c r="N7" s="90"/>
      <c r="O7" s="90"/>
    </row>
    <row r="8" spans="1:16" x14ac:dyDescent="0.25"/>
    <row r="9" spans="1:16" ht="96" customHeight="1" x14ac:dyDescent="0.25">
      <c r="B9" s="90" t="s">
        <v>36</v>
      </c>
      <c r="C9" s="90"/>
      <c r="D9" s="90"/>
      <c r="E9" s="90"/>
      <c r="F9" s="90"/>
      <c r="G9" s="90"/>
      <c r="H9" s="90"/>
      <c r="I9" s="90"/>
      <c r="J9" s="90"/>
      <c r="K9" s="90"/>
      <c r="L9" s="90"/>
      <c r="M9" s="90"/>
      <c r="N9" s="90"/>
      <c r="O9" s="90"/>
    </row>
    <row r="10" spans="1:16" x14ac:dyDescent="0.25"/>
    <row r="11" spans="1:16" x14ac:dyDescent="0.25"/>
    <row r="12" spans="1:16" x14ac:dyDescent="0.25">
      <c r="B12" s="36"/>
    </row>
    <row r="13" spans="1:16" x14ac:dyDescent="0.25"/>
  </sheetData>
  <mergeCells count="2">
    <mergeCell ref="B7:O7"/>
    <mergeCell ref="B9:O9"/>
  </mergeCells>
  <hyperlinks>
    <hyperlink ref="N1"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30"/>
  <sheetViews>
    <sheetView showGridLines="0" zoomScale="90" zoomScaleNormal="90" workbookViewId="0">
      <selection activeCell="E11" sqref="E11"/>
    </sheetView>
  </sheetViews>
  <sheetFormatPr baseColWidth="10" defaultColWidth="0" defaultRowHeight="15" zeroHeight="1" x14ac:dyDescent="0.25"/>
  <cols>
    <col min="1" max="1" width="4.7109375" customWidth="1"/>
    <col min="2" max="2" width="2.5703125" customWidth="1"/>
    <col min="3" max="3" width="26.42578125" customWidth="1"/>
    <col min="4" max="4" width="30.7109375" customWidth="1"/>
    <col min="5" max="5" width="15.85546875" customWidth="1"/>
    <col min="6" max="6" width="11" customWidth="1"/>
    <col min="7" max="7" width="17" customWidth="1"/>
    <col min="8" max="8" width="20.42578125" customWidth="1"/>
    <col min="9" max="9" width="31" customWidth="1"/>
    <col min="10" max="10" width="3.5703125" customWidth="1"/>
    <col min="11" max="11" width="3" customWidth="1"/>
    <col min="12" max="12" width="2.28515625" customWidth="1"/>
    <col min="13" max="13" width="13.42578125" customWidth="1"/>
    <col min="14" max="14" width="14.5703125" customWidth="1"/>
    <col min="15" max="16" width="9.140625" customWidth="1"/>
    <col min="17" max="16384" width="9.140625" hidden="1"/>
  </cols>
  <sheetData>
    <row r="1" spans="1:15" ht="26.25" x14ac:dyDescent="0.4">
      <c r="A1" s="2"/>
      <c r="B1" s="3" t="s">
        <v>1</v>
      </c>
      <c r="C1" s="2"/>
      <c r="D1" s="2"/>
      <c r="E1" s="2"/>
      <c r="F1" s="2"/>
      <c r="G1" s="2"/>
      <c r="H1" s="2"/>
      <c r="I1" s="2"/>
      <c r="J1" s="2"/>
      <c r="K1" s="2"/>
      <c r="L1" s="2"/>
      <c r="M1" s="2"/>
      <c r="N1" s="37" t="s">
        <v>39</v>
      </c>
      <c r="O1" s="2"/>
    </row>
    <row r="2" spans="1:15" x14ac:dyDescent="0.25"/>
    <row r="3" spans="1:15" ht="15.75" x14ac:dyDescent="0.25">
      <c r="B3" s="8" t="s">
        <v>2</v>
      </c>
      <c r="C3" s="9"/>
      <c r="D3" s="9"/>
      <c r="E3" s="9"/>
      <c r="F3" s="9"/>
      <c r="G3" s="9"/>
      <c r="H3" s="9"/>
      <c r="I3" s="9"/>
      <c r="J3" s="9"/>
      <c r="K3" s="9"/>
      <c r="L3" s="9"/>
      <c r="M3" s="9"/>
      <c r="N3" s="9"/>
      <c r="O3" s="9"/>
    </row>
    <row r="4" spans="1:15" s="4" customFormat="1" ht="12.75" x14ac:dyDescent="0.2"/>
    <row r="5" spans="1:15" s="4" customFormat="1" ht="16.5" customHeight="1" x14ac:dyDescent="0.25">
      <c r="C5" s="91" t="s">
        <v>9</v>
      </c>
      <c r="D5" s="91"/>
      <c r="E5" s="91"/>
      <c r="F5" s="91"/>
      <c r="G5" s="91"/>
      <c r="H5" s="91"/>
      <c r="I5" s="91"/>
      <c r="J5" s="91"/>
      <c r="K5" s="91"/>
      <c r="L5" s="91"/>
      <c r="M5" s="91"/>
      <c r="N5" s="91"/>
      <c r="O5" s="91"/>
    </row>
    <row r="6" spans="1:15" s="4" customFormat="1" ht="12.75" x14ac:dyDescent="0.2"/>
    <row r="7" spans="1:15" s="4" customFormat="1" ht="12.75" x14ac:dyDescent="0.2">
      <c r="C7" s="5" t="s">
        <v>3</v>
      </c>
      <c r="D7" s="94" t="s">
        <v>65</v>
      </c>
      <c r="E7" s="95"/>
      <c r="F7" s="95"/>
      <c r="H7" s="5" t="s">
        <v>45</v>
      </c>
      <c r="I7" s="94" t="s">
        <v>66</v>
      </c>
      <c r="J7" s="95"/>
      <c r="K7" s="95"/>
    </row>
    <row r="8" spans="1:15" s="4" customFormat="1" ht="12.75" x14ac:dyDescent="0.2"/>
    <row r="9" spans="1:15" s="4" customFormat="1" ht="12.75" x14ac:dyDescent="0.2">
      <c r="C9" s="5" t="s">
        <v>7</v>
      </c>
      <c r="D9" s="94" t="s">
        <v>67</v>
      </c>
      <c r="E9" s="95"/>
      <c r="F9" s="95"/>
      <c r="H9" s="5" t="s">
        <v>6</v>
      </c>
      <c r="I9" s="94" t="s">
        <v>40</v>
      </c>
      <c r="J9" s="95"/>
      <c r="K9" s="95"/>
    </row>
    <row r="10" spans="1:15" s="4" customFormat="1" ht="12.75" x14ac:dyDescent="0.2"/>
    <row r="11" spans="1:15" s="4" customFormat="1" ht="12.75" x14ac:dyDescent="0.2">
      <c r="C11" s="5" t="s">
        <v>44</v>
      </c>
      <c r="D11" s="6" t="s">
        <v>68</v>
      </c>
    </row>
    <row r="12" spans="1:15" s="4" customFormat="1" ht="15.75" x14ac:dyDescent="0.25">
      <c r="B12" s="8" t="s">
        <v>0</v>
      </c>
      <c r="C12" s="9"/>
      <c r="D12" s="9"/>
      <c r="E12" s="9"/>
      <c r="F12" s="9"/>
      <c r="G12" s="9"/>
      <c r="H12" s="9"/>
      <c r="I12" s="9"/>
      <c r="J12" s="9"/>
      <c r="K12" s="9"/>
      <c r="L12" s="9"/>
      <c r="M12" s="9"/>
      <c r="N12" s="9"/>
      <c r="O12" s="9"/>
    </row>
    <row r="13" spans="1:15" x14ac:dyDescent="0.25"/>
    <row r="14" spans="1:15" ht="28.5" customHeight="1" x14ac:dyDescent="0.25">
      <c r="C14" s="92" t="s">
        <v>20</v>
      </c>
      <c r="D14" s="93"/>
      <c r="E14" s="93"/>
      <c r="F14" s="93"/>
      <c r="G14" s="93"/>
      <c r="H14" s="93"/>
      <c r="I14" s="93"/>
      <c r="J14" s="93"/>
      <c r="K14" s="93"/>
      <c r="L14" s="93"/>
      <c r="M14" s="93"/>
      <c r="N14" s="93"/>
      <c r="O14" s="93"/>
    </row>
    <row r="15" spans="1:15" x14ac:dyDescent="0.25"/>
    <row r="16" spans="1:15" x14ac:dyDescent="0.25">
      <c r="C16" s="4" t="s">
        <v>8</v>
      </c>
      <c r="D16" s="4" t="s">
        <v>4</v>
      </c>
      <c r="E16" s="4" t="s">
        <v>49</v>
      </c>
      <c r="F16" s="4" t="s">
        <v>5</v>
      </c>
      <c r="G16" s="4" t="s">
        <v>44</v>
      </c>
      <c r="H16" s="4" t="s">
        <v>50</v>
      </c>
      <c r="I16" s="4" t="s">
        <v>54</v>
      </c>
      <c r="J16" s="4"/>
      <c r="N16" s="5" t="s">
        <v>19</v>
      </c>
      <c r="O16" s="16">
        <v>0</v>
      </c>
    </row>
    <row r="17" spans="3:11" ht="15.75" x14ac:dyDescent="0.25">
      <c r="C17" s="61" t="s">
        <v>61</v>
      </c>
      <c r="D17" s="61" t="s">
        <v>41</v>
      </c>
      <c r="E17" s="61" t="s">
        <v>42</v>
      </c>
      <c r="F17" s="61" t="s">
        <v>40</v>
      </c>
      <c r="G17" s="62">
        <v>12345678</v>
      </c>
      <c r="H17" s="65">
        <v>24888999</v>
      </c>
      <c r="I17" s="67" t="s">
        <v>63</v>
      </c>
      <c r="J17" s="7"/>
      <c r="K17" s="7"/>
    </row>
    <row r="18" spans="3:11" ht="15.75" x14ac:dyDescent="0.25">
      <c r="C18" s="61" t="s">
        <v>62</v>
      </c>
      <c r="D18" s="61" t="s">
        <v>41</v>
      </c>
      <c r="E18" s="61" t="s">
        <v>51</v>
      </c>
      <c r="F18" s="61" t="s">
        <v>52</v>
      </c>
      <c r="G18" s="62">
        <v>98765432</v>
      </c>
      <c r="H18" s="65" t="s">
        <v>53</v>
      </c>
      <c r="I18" s="67" t="s">
        <v>64</v>
      </c>
      <c r="J18" s="7"/>
      <c r="K18" s="7"/>
    </row>
    <row r="19" spans="3:11" ht="15.75" x14ac:dyDescent="0.25">
      <c r="C19" s="61"/>
      <c r="D19" s="61"/>
      <c r="E19" s="61"/>
      <c r="F19" s="61"/>
      <c r="G19" s="62"/>
      <c r="H19" s="65"/>
      <c r="I19" s="67"/>
      <c r="J19" s="7"/>
      <c r="K19" s="7"/>
    </row>
    <row r="20" spans="3:11" ht="15.75" x14ac:dyDescent="0.25">
      <c r="C20" s="61"/>
      <c r="D20" s="61"/>
      <c r="E20" s="61"/>
      <c r="F20" s="61"/>
      <c r="G20" s="62"/>
      <c r="H20" s="65"/>
      <c r="I20" s="67"/>
      <c r="J20" s="7"/>
      <c r="K20" s="7"/>
    </row>
    <row r="21" spans="3:11" ht="15.75" x14ac:dyDescent="0.25">
      <c r="C21" s="61"/>
      <c r="D21" s="61"/>
      <c r="E21" s="61"/>
      <c r="F21" s="61"/>
      <c r="G21" s="62"/>
      <c r="H21" s="65"/>
      <c r="I21" s="67"/>
      <c r="J21" s="7"/>
      <c r="K21" s="7"/>
    </row>
    <row r="22" spans="3:11" ht="15.75" x14ac:dyDescent="0.25">
      <c r="C22" s="61"/>
      <c r="D22" s="61"/>
      <c r="E22" s="61"/>
      <c r="F22" s="61"/>
      <c r="G22" s="62"/>
      <c r="H22" s="65"/>
      <c r="I22" s="67"/>
      <c r="J22" s="7"/>
      <c r="K22" s="7"/>
    </row>
    <row r="23" spans="3:11" ht="15.75" x14ac:dyDescent="0.25">
      <c r="C23" s="61"/>
      <c r="D23" s="61"/>
      <c r="E23" s="61"/>
      <c r="F23" s="61"/>
      <c r="G23" s="62"/>
      <c r="H23" s="65"/>
      <c r="I23" s="66"/>
      <c r="J23" s="7"/>
      <c r="K23" s="7"/>
    </row>
    <row r="24" spans="3:11" x14ac:dyDescent="0.25"/>
    <row r="25" spans="3:11" x14ac:dyDescent="0.25"/>
    <row r="26" spans="3:11" x14ac:dyDescent="0.25"/>
    <row r="27" spans="3:11" x14ac:dyDescent="0.25"/>
    <row r="28" spans="3:11" x14ac:dyDescent="0.25"/>
    <row r="29" spans="3:11" x14ac:dyDescent="0.25"/>
    <row r="30" spans="3:11" x14ac:dyDescent="0.25"/>
  </sheetData>
  <mergeCells count="6">
    <mergeCell ref="C5:O5"/>
    <mergeCell ref="C14:O14"/>
    <mergeCell ref="D7:F7"/>
    <mergeCell ref="D9:F9"/>
    <mergeCell ref="I9:K9"/>
    <mergeCell ref="I7:K7"/>
  </mergeCells>
  <hyperlinks>
    <hyperlink ref="N1" r:id="rId1"/>
    <hyperlink ref="I17" r:id="rId2"/>
    <hyperlink ref="I18" r:id="rId3"/>
  </hyperlinks>
  <pageMargins left="0.7" right="0.7" top="0.75" bottom="0.75" header="0.3" footer="0.3"/>
  <pageSetup orientation="portrait"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9"/>
  <sheetViews>
    <sheetView showGridLines="0" workbookViewId="0">
      <selection activeCell="D8" sqref="D8"/>
    </sheetView>
  </sheetViews>
  <sheetFormatPr baseColWidth="10" defaultColWidth="11.42578125" defaultRowHeight="15" x14ac:dyDescent="0.25"/>
  <cols>
    <col min="1" max="1" width="5.7109375" customWidth="1"/>
    <col min="2" max="3" width="2.140625" customWidth="1"/>
    <col min="4" max="4" width="12.5703125" customWidth="1"/>
    <col min="6" max="6" width="13.85546875" customWidth="1"/>
    <col min="7" max="7" width="24.7109375" customWidth="1"/>
    <col min="8" max="10" width="13.85546875" customWidth="1"/>
    <col min="11" max="11" width="13.5703125" customWidth="1"/>
    <col min="12" max="13" width="8.7109375" customWidth="1"/>
  </cols>
  <sheetData>
    <row r="1" spans="1:15" ht="26.25" x14ac:dyDescent="0.4">
      <c r="A1" s="2"/>
      <c r="B1" s="3" t="s">
        <v>14</v>
      </c>
      <c r="C1" s="3"/>
      <c r="D1" s="2"/>
      <c r="E1" s="2"/>
      <c r="F1" s="2"/>
      <c r="G1" s="2"/>
      <c r="H1" s="2"/>
      <c r="I1" s="2"/>
      <c r="J1" s="2"/>
      <c r="K1" s="2"/>
      <c r="L1" s="2"/>
      <c r="M1" s="2"/>
      <c r="N1" s="37" t="s">
        <v>39</v>
      </c>
      <c r="O1" s="2"/>
    </row>
    <row r="5" spans="1:15" s="33" customFormat="1" x14ac:dyDescent="0.25">
      <c r="D5" s="30" t="s">
        <v>13</v>
      </c>
      <c r="E5" s="31" t="s">
        <v>15</v>
      </c>
      <c r="F5" s="32" t="s">
        <v>12</v>
      </c>
      <c r="G5" s="31" t="s">
        <v>10</v>
      </c>
      <c r="H5" s="31" t="s">
        <v>22</v>
      </c>
      <c r="I5" s="31" t="s">
        <v>11</v>
      </c>
      <c r="J5" s="31" t="s">
        <v>23</v>
      </c>
      <c r="K5" s="30" t="s">
        <v>32</v>
      </c>
      <c r="L5" s="31" t="s">
        <v>25</v>
      </c>
      <c r="M5" s="31" t="s">
        <v>26</v>
      </c>
    </row>
    <row r="6" spans="1:15" x14ac:dyDescent="0.25">
      <c r="D6" s="21" t="s">
        <v>27</v>
      </c>
      <c r="E6" s="34">
        <v>1</v>
      </c>
      <c r="F6" s="35">
        <v>44111</v>
      </c>
      <c r="G6" s="21" t="s">
        <v>61</v>
      </c>
      <c r="H6" s="63">
        <v>29705.88</v>
      </c>
      <c r="I6" s="63">
        <v>5644.12</v>
      </c>
      <c r="J6" s="46">
        <v>35350</v>
      </c>
      <c r="K6" s="22" t="s">
        <v>37</v>
      </c>
      <c r="L6" s="24">
        <v>10</v>
      </c>
      <c r="M6" s="24">
        <v>2020</v>
      </c>
    </row>
    <row r="7" spans="1:15" x14ac:dyDescent="0.25">
      <c r="D7" s="21" t="s">
        <v>71</v>
      </c>
      <c r="E7" s="34">
        <v>2</v>
      </c>
      <c r="F7" s="35">
        <v>44111</v>
      </c>
      <c r="G7" s="21" t="s">
        <v>61</v>
      </c>
      <c r="H7" s="63">
        <v>120840.34</v>
      </c>
      <c r="I7" s="63">
        <v>22959.66</v>
      </c>
      <c r="J7" s="46">
        <v>143800</v>
      </c>
      <c r="K7" s="22" t="s">
        <v>37</v>
      </c>
      <c r="L7" s="24">
        <v>10</v>
      </c>
      <c r="M7" s="24">
        <v>2020</v>
      </c>
    </row>
    <row r="8" spans="1:15" x14ac:dyDescent="0.25">
      <c r="D8" s="21" t="s">
        <v>72</v>
      </c>
      <c r="E8" s="34">
        <v>3</v>
      </c>
      <c r="F8" s="35">
        <v>44111</v>
      </c>
      <c r="G8" s="21" t="s">
        <v>62</v>
      </c>
      <c r="H8" s="63">
        <v>20000</v>
      </c>
      <c r="I8" s="63">
        <v>0</v>
      </c>
      <c r="J8" s="46">
        <v>20000</v>
      </c>
      <c r="K8" s="22" t="s">
        <v>37</v>
      </c>
      <c r="L8" s="24">
        <v>10</v>
      </c>
      <c r="M8" s="24">
        <v>2020</v>
      </c>
    </row>
    <row r="9" spans="1:15" x14ac:dyDescent="0.25">
      <c r="D9" s="70"/>
      <c r="E9" s="71"/>
      <c r="F9" s="72"/>
      <c r="G9" s="70"/>
      <c r="H9" s="73"/>
      <c r="I9" s="73"/>
      <c r="J9" s="73"/>
      <c r="K9" s="29"/>
      <c r="L9" s="74"/>
      <c r="M9" s="74"/>
    </row>
    <row r="10" spans="1:15" x14ac:dyDescent="0.25">
      <c r="D10" s="75"/>
      <c r="E10" s="76"/>
      <c r="F10" s="77"/>
      <c r="G10" s="75"/>
      <c r="H10" s="78"/>
      <c r="I10" s="78"/>
      <c r="J10" s="78"/>
      <c r="K10" s="79"/>
      <c r="L10" s="80"/>
      <c r="M10" s="80"/>
    </row>
    <row r="11" spans="1:15" x14ac:dyDescent="0.25">
      <c r="D11" s="75"/>
      <c r="E11" s="76"/>
      <c r="F11" s="77"/>
      <c r="G11" s="75"/>
      <c r="H11" s="78"/>
      <c r="I11" s="78"/>
      <c r="J11" s="78"/>
      <c r="K11" s="79"/>
      <c r="L11" s="80"/>
      <c r="M11" s="80"/>
    </row>
    <row r="12" spans="1:15" x14ac:dyDescent="0.25">
      <c r="D12" s="75"/>
      <c r="E12" s="76"/>
      <c r="F12" s="77"/>
      <c r="G12" s="75"/>
      <c r="H12" s="78"/>
      <c r="I12" s="78"/>
      <c r="J12" s="78"/>
      <c r="K12" s="79"/>
      <c r="L12" s="80"/>
      <c r="M12" s="80"/>
    </row>
    <row r="13" spans="1:15" x14ac:dyDescent="0.25">
      <c r="D13" s="75"/>
      <c r="E13" s="76"/>
      <c r="F13" s="77"/>
      <c r="G13" s="75"/>
      <c r="H13" s="78"/>
      <c r="I13" s="81"/>
      <c r="J13" s="78"/>
      <c r="K13" s="79"/>
      <c r="L13" s="80"/>
      <c r="M13" s="80"/>
    </row>
    <row r="14" spans="1:15" x14ac:dyDescent="0.25">
      <c r="D14" s="70"/>
      <c r="E14" s="71"/>
      <c r="F14" s="72"/>
      <c r="G14" s="70"/>
      <c r="H14" s="73"/>
      <c r="I14" s="82"/>
      <c r="J14" s="73"/>
      <c r="K14" s="29"/>
      <c r="L14" s="74"/>
      <c r="M14" s="74"/>
    </row>
    <row r="15" spans="1:15" x14ac:dyDescent="0.25">
      <c r="D15" s="70"/>
      <c r="E15" s="71"/>
      <c r="F15" s="72"/>
      <c r="G15" s="70"/>
      <c r="H15" s="82"/>
      <c r="I15" s="82"/>
      <c r="J15" s="73"/>
      <c r="K15" s="29"/>
      <c r="L15" s="74"/>
      <c r="M15" s="74"/>
    </row>
    <row r="16" spans="1:15" x14ac:dyDescent="0.25">
      <c r="D16" s="70"/>
      <c r="E16" s="71"/>
      <c r="F16" s="72"/>
      <c r="G16" s="70"/>
      <c r="H16" s="73"/>
      <c r="I16" s="73"/>
      <c r="J16" s="73"/>
      <c r="K16" s="29"/>
      <c r="L16" s="74"/>
      <c r="M16" s="74"/>
    </row>
    <row r="17" spans="4:13" x14ac:dyDescent="0.25">
      <c r="D17" s="70"/>
      <c r="E17" s="71"/>
      <c r="F17" s="72"/>
      <c r="G17" s="70"/>
      <c r="H17" s="73"/>
      <c r="I17" s="73"/>
      <c r="J17" s="73"/>
      <c r="K17" s="29"/>
      <c r="L17" s="74"/>
      <c r="M17" s="74"/>
    </row>
    <row r="18" spans="4:13" x14ac:dyDescent="0.25">
      <c r="D18" s="70"/>
      <c r="E18" s="71"/>
      <c r="F18" s="72"/>
      <c r="G18" s="70"/>
      <c r="H18" s="73"/>
      <c r="I18" s="73"/>
      <c r="J18" s="73"/>
      <c r="K18" s="29"/>
      <c r="L18" s="74"/>
      <c r="M18" s="74"/>
    </row>
    <row r="19" spans="4:13" x14ac:dyDescent="0.25">
      <c r="D19" s="70"/>
      <c r="E19" s="71"/>
      <c r="F19" s="72"/>
      <c r="G19" s="70"/>
      <c r="H19" s="73"/>
      <c r="I19" s="73"/>
      <c r="J19" s="73"/>
      <c r="K19" s="29"/>
      <c r="L19" s="74"/>
      <c r="M19" s="74"/>
    </row>
  </sheetData>
  <dataValidations count="2">
    <dataValidation type="list" allowBlank="1" showInputMessage="1" showErrorMessage="1" sqref="D6:D8">
      <formula1>"Enviada,Pagada,Pago retrasado,Pendiente"</formula1>
    </dataValidation>
    <dataValidation type="list" allowBlank="1" showInputMessage="1" showErrorMessage="1" sqref="K6:K8">
      <formula1>"Si,No"</formula1>
    </dataValidation>
  </dataValidations>
  <hyperlinks>
    <hyperlink ref="N1" r:id="rId1"/>
  </hyperlinks>
  <pageMargins left="0.7" right="0.7" top="0.75" bottom="0.75" header="0.3" footer="0.3"/>
  <pageSetup paperSize="9"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T52"/>
  <sheetViews>
    <sheetView showGridLines="0" zoomScale="85" zoomScaleNormal="85" workbookViewId="0">
      <selection activeCell="L10" sqref="L10"/>
    </sheetView>
  </sheetViews>
  <sheetFormatPr baseColWidth="10" defaultColWidth="0" defaultRowHeight="15" x14ac:dyDescent="0.25"/>
  <cols>
    <col min="1" max="1" width="9.140625" customWidth="1"/>
    <col min="2" max="2" width="3.28515625" customWidth="1"/>
    <col min="3" max="3" width="26.7109375" customWidth="1"/>
    <col min="4" max="4" width="9.140625" customWidth="1"/>
    <col min="5" max="5" width="11.28515625" customWidth="1"/>
    <col min="6" max="6" width="5.5703125" customWidth="1"/>
    <col min="7" max="7" width="15.85546875" customWidth="1"/>
    <col min="8" max="8" width="16" customWidth="1"/>
    <col min="9" max="9" width="5" customWidth="1"/>
    <col min="10" max="10" width="3.85546875" customWidth="1"/>
    <col min="11" max="11" width="6.28515625" customWidth="1"/>
    <col min="12" max="12" width="14.140625" customWidth="1"/>
    <col min="13" max="14" width="9.140625" customWidth="1"/>
    <col min="15" max="15" width="10.5703125" customWidth="1"/>
    <col min="16" max="19" width="9.140625" customWidth="1"/>
    <col min="20" max="20" width="0" hidden="1" customWidth="1"/>
    <col min="21" max="16384" width="9.140625" hidden="1"/>
  </cols>
  <sheetData>
    <row r="1" spans="1:20" ht="26.25" x14ac:dyDescent="0.4">
      <c r="A1" s="2"/>
      <c r="B1" s="3" t="s">
        <v>57</v>
      </c>
      <c r="C1" s="3"/>
      <c r="D1" s="2"/>
      <c r="E1" s="2"/>
      <c r="F1" s="2"/>
      <c r="G1" s="2"/>
      <c r="H1" s="2"/>
      <c r="I1" s="2"/>
      <c r="J1" s="2"/>
      <c r="K1" s="2"/>
      <c r="L1" s="2"/>
      <c r="M1" s="2"/>
      <c r="N1" s="2"/>
      <c r="O1" s="2"/>
      <c r="P1" s="2"/>
      <c r="Q1" s="2"/>
      <c r="R1" s="37" t="s">
        <v>39</v>
      </c>
      <c r="S1" s="2"/>
      <c r="T1" s="2"/>
    </row>
    <row r="4" spans="1:20" ht="18.75" x14ac:dyDescent="0.3">
      <c r="C4" s="104" t="s">
        <v>69</v>
      </c>
      <c r="D4" s="104"/>
      <c r="E4" s="104"/>
      <c r="G4" s="10" t="str">
        <f>INFO_NOMBRE</f>
        <v>Nombre empresa</v>
      </c>
    </row>
    <row r="5" spans="1:20" x14ac:dyDescent="0.25">
      <c r="C5" s="104"/>
      <c r="D5" s="104"/>
      <c r="E5" s="104"/>
      <c r="G5" s="68" t="str">
        <f>"NIT: " &amp;INFO_NIF</f>
        <v>NIT: 123456789-0</v>
      </c>
      <c r="M5" s="13" t="s">
        <v>34</v>
      </c>
    </row>
    <row r="6" spans="1:20" x14ac:dyDescent="0.25">
      <c r="C6" s="104"/>
      <c r="D6" s="104"/>
      <c r="E6" s="104"/>
      <c r="G6" s="68" t="str">
        <f>INFO_DIREC</f>
        <v>Cra 12 # 34 - 56</v>
      </c>
      <c r="H6" s="68" t="str">
        <f>INFO_CIUDAD</f>
        <v>Medellín</v>
      </c>
      <c r="I6" s="11"/>
      <c r="J6" s="11"/>
      <c r="M6">
        <v>0</v>
      </c>
    </row>
    <row r="7" spans="1:20" x14ac:dyDescent="0.25">
      <c r="C7" s="104"/>
      <c r="D7" s="104"/>
      <c r="E7" s="104"/>
      <c r="G7" s="68" t="str">
        <f>INFO_CP</f>
        <v>304 123 33 44</v>
      </c>
      <c r="H7" s="12"/>
      <c r="I7" s="11"/>
      <c r="J7" s="11"/>
    </row>
    <row r="10" spans="1:20" x14ac:dyDescent="0.25">
      <c r="C10" s="56" t="s">
        <v>55</v>
      </c>
      <c r="D10" s="57"/>
      <c r="E10" s="58"/>
    </row>
    <row r="11" spans="1:20" ht="23.25" x14ac:dyDescent="0.35">
      <c r="C11" s="53" t="s">
        <v>62</v>
      </c>
      <c r="D11" s="41"/>
      <c r="E11" s="42"/>
    </row>
    <row r="12" spans="1:20" ht="15.75" x14ac:dyDescent="0.25">
      <c r="C12" s="54" t="str">
        <f>"NIT: "&amp;IFERROR(VLOOKUP(C11,Clientes[],6,0),"")</f>
        <v>NIT: 10299384-3</v>
      </c>
      <c r="D12" s="55"/>
      <c r="E12" s="59"/>
      <c r="F12" s="12"/>
      <c r="G12" s="5" t="s">
        <v>47</v>
      </c>
      <c r="H12" s="50">
        <v>3</v>
      </c>
    </row>
    <row r="13" spans="1:20" ht="15.75" x14ac:dyDescent="0.25">
      <c r="C13" s="54" t="str">
        <f>""&amp;IFERROR(VLOOKUP(C11,Clientes[],2,0),"")</f>
        <v>CLL 23 # 23 - 33</v>
      </c>
      <c r="D13" s="96" t="str">
        <f>IFERROR(VLOOKUP(C11,Clientes[],4,0)&amp;" - "&amp;VLOOKUP(C11,Clientes[],3,0),"")</f>
        <v>Cúcuta - Santander</v>
      </c>
      <c r="E13" s="97"/>
      <c r="F13" s="12"/>
      <c r="G13" s="5" t="s">
        <v>17</v>
      </c>
      <c r="H13" s="51">
        <f ca="1">+TODAY()</f>
        <v>44111</v>
      </c>
    </row>
    <row r="14" spans="1:20" ht="15.75" x14ac:dyDescent="0.25">
      <c r="C14" s="54" t="str">
        <f>""&amp;IFERROR(VLOOKUP(C11,Clientes[],7,0),"")</f>
        <v>cliente2@gmail.com</v>
      </c>
      <c r="D14" s="55"/>
      <c r="E14" s="59"/>
      <c r="F14" s="12"/>
      <c r="G14" s="5"/>
      <c r="H14" s="51"/>
    </row>
    <row r="15" spans="1:20" ht="15.75" x14ac:dyDescent="0.25">
      <c r="C15" s="64" t="str">
        <f>"Tel.: "&amp;IFERROR(VLOOKUP(C11,Clientes[],5,0),"")</f>
        <v>Tel.: 98765432</v>
      </c>
      <c r="D15" s="43"/>
      <c r="E15" s="44"/>
    </row>
    <row r="16" spans="1:20" ht="15.75" x14ac:dyDescent="0.25">
      <c r="C16" s="69"/>
      <c r="D16" s="41"/>
      <c r="E16" s="41"/>
    </row>
    <row r="17" spans="3:12" x14ac:dyDescent="0.25">
      <c r="C17" s="13" t="s">
        <v>16</v>
      </c>
      <c r="G17" s="60" t="s">
        <v>46</v>
      </c>
      <c r="H17" s="60" t="s">
        <v>60</v>
      </c>
      <c r="I17" s="41"/>
      <c r="K17" s="13" t="s">
        <v>58</v>
      </c>
      <c r="L17" s="13" t="s">
        <v>59</v>
      </c>
    </row>
    <row r="18" spans="3:12" ht="8.1" customHeight="1" x14ac:dyDescent="0.25">
      <c r="C18" s="14"/>
      <c r="D18" s="15"/>
      <c r="E18" s="15"/>
      <c r="F18" s="15"/>
      <c r="G18" s="15"/>
      <c r="H18" s="15"/>
      <c r="I18" s="41"/>
      <c r="K18" s="41"/>
      <c r="L18" s="41"/>
    </row>
    <row r="19" spans="3:12" ht="15" customHeight="1" x14ac:dyDescent="0.25">
      <c r="C19" s="100" t="s">
        <v>70</v>
      </c>
      <c r="D19" s="100"/>
      <c r="E19" s="100"/>
      <c r="F19" s="100"/>
      <c r="G19" s="86">
        <v>2</v>
      </c>
      <c r="H19" s="52">
        <v>20000</v>
      </c>
      <c r="I19" s="45"/>
      <c r="K19" s="83">
        <v>5</v>
      </c>
      <c r="L19" s="85">
        <f>H19/(1+(K19/100))*(K19/100)</f>
        <v>952.38095238095229</v>
      </c>
    </row>
    <row r="20" spans="3:12" x14ac:dyDescent="0.25">
      <c r="C20" s="101"/>
      <c r="D20" s="101"/>
      <c r="E20" s="101"/>
      <c r="F20" s="101"/>
      <c r="G20" s="87"/>
      <c r="H20" s="48"/>
      <c r="I20" s="45"/>
      <c r="K20" s="84"/>
      <c r="L20" s="89">
        <f t="shared" ref="L20:L35" si="0">H20/(1+(K20/100))*(K20/100)</f>
        <v>0</v>
      </c>
    </row>
    <row r="21" spans="3:12" x14ac:dyDescent="0.25">
      <c r="C21" s="100"/>
      <c r="D21" s="100"/>
      <c r="E21" s="100"/>
      <c r="F21" s="100"/>
      <c r="G21" s="86"/>
      <c r="H21" s="52"/>
      <c r="I21" s="45"/>
      <c r="K21" s="83"/>
      <c r="L21" s="85">
        <f t="shared" si="0"/>
        <v>0</v>
      </c>
    </row>
    <row r="22" spans="3:12" x14ac:dyDescent="0.25">
      <c r="C22" s="101"/>
      <c r="D22" s="101"/>
      <c r="E22" s="101"/>
      <c r="F22" s="101"/>
      <c r="G22" s="87"/>
      <c r="H22" s="48"/>
      <c r="I22" s="45"/>
      <c r="K22" s="84"/>
      <c r="L22" s="89">
        <f t="shared" si="0"/>
        <v>0</v>
      </c>
    </row>
    <row r="23" spans="3:12" x14ac:dyDescent="0.25">
      <c r="C23" s="100"/>
      <c r="D23" s="100"/>
      <c r="E23" s="100"/>
      <c r="F23" s="100"/>
      <c r="G23" s="86"/>
      <c r="H23" s="52"/>
      <c r="I23" s="45"/>
      <c r="K23" s="83"/>
      <c r="L23" s="85">
        <f t="shared" si="0"/>
        <v>0</v>
      </c>
    </row>
    <row r="24" spans="3:12" x14ac:dyDescent="0.25">
      <c r="C24" s="101"/>
      <c r="D24" s="101"/>
      <c r="E24" s="101"/>
      <c r="F24" s="101"/>
      <c r="G24" s="87"/>
      <c r="H24" s="48"/>
      <c r="I24" s="45"/>
      <c r="K24" s="84"/>
      <c r="L24" s="89">
        <f t="shared" si="0"/>
        <v>0</v>
      </c>
    </row>
    <row r="25" spans="3:12" x14ac:dyDescent="0.25">
      <c r="C25" s="100"/>
      <c r="D25" s="100"/>
      <c r="E25" s="100"/>
      <c r="F25" s="100"/>
      <c r="G25" s="86"/>
      <c r="H25" s="52"/>
      <c r="I25" s="45"/>
      <c r="K25" s="83"/>
      <c r="L25" s="85">
        <f t="shared" si="0"/>
        <v>0</v>
      </c>
    </row>
    <row r="26" spans="3:12" x14ac:dyDescent="0.25">
      <c r="C26" s="101"/>
      <c r="D26" s="101"/>
      <c r="E26" s="101"/>
      <c r="F26" s="101"/>
      <c r="G26" s="87"/>
      <c r="H26" s="48"/>
      <c r="I26" s="45"/>
      <c r="K26" s="84"/>
      <c r="L26" s="89">
        <f t="shared" si="0"/>
        <v>0</v>
      </c>
    </row>
    <row r="27" spans="3:12" ht="15" customHeight="1" x14ac:dyDescent="0.25">
      <c r="C27" s="100"/>
      <c r="D27" s="100"/>
      <c r="E27" s="100"/>
      <c r="F27" s="100"/>
      <c r="G27" s="86"/>
      <c r="H27" s="52"/>
      <c r="I27" s="45"/>
      <c r="K27" s="83"/>
      <c r="L27" s="85">
        <f t="shared" si="0"/>
        <v>0</v>
      </c>
    </row>
    <row r="28" spans="3:12" x14ac:dyDescent="0.25">
      <c r="C28" s="101"/>
      <c r="D28" s="101"/>
      <c r="E28" s="101"/>
      <c r="F28" s="101"/>
      <c r="G28" s="87"/>
      <c r="H28" s="48"/>
      <c r="I28" s="45"/>
      <c r="K28" s="84"/>
      <c r="L28" s="89">
        <f t="shared" si="0"/>
        <v>0</v>
      </c>
    </row>
    <row r="29" spans="3:12" x14ac:dyDescent="0.25">
      <c r="C29" s="100"/>
      <c r="D29" s="100"/>
      <c r="E29" s="100"/>
      <c r="F29" s="100"/>
      <c r="G29" s="86"/>
      <c r="H29" s="52"/>
      <c r="I29" s="45"/>
      <c r="K29" s="83"/>
      <c r="L29" s="85">
        <f t="shared" si="0"/>
        <v>0</v>
      </c>
    </row>
    <row r="30" spans="3:12" x14ac:dyDescent="0.25">
      <c r="C30" s="101"/>
      <c r="D30" s="101"/>
      <c r="E30" s="101"/>
      <c r="F30" s="101"/>
      <c r="G30" s="87"/>
      <c r="H30" s="48"/>
      <c r="I30" s="45"/>
      <c r="K30" s="84"/>
      <c r="L30" s="89">
        <f t="shared" si="0"/>
        <v>0</v>
      </c>
    </row>
    <row r="31" spans="3:12" x14ac:dyDescent="0.25">
      <c r="C31" s="100"/>
      <c r="D31" s="100"/>
      <c r="E31" s="100"/>
      <c r="F31" s="100"/>
      <c r="G31" s="86"/>
      <c r="H31" s="52"/>
      <c r="I31" s="45"/>
      <c r="K31" s="83"/>
      <c r="L31" s="85">
        <f t="shared" si="0"/>
        <v>0</v>
      </c>
    </row>
    <row r="32" spans="3:12" x14ac:dyDescent="0.25">
      <c r="C32" s="101"/>
      <c r="D32" s="101"/>
      <c r="E32" s="101"/>
      <c r="F32" s="101"/>
      <c r="G32" s="87"/>
      <c r="H32" s="48"/>
      <c r="I32" s="45"/>
      <c r="K32" s="84"/>
      <c r="L32" s="89">
        <f t="shared" si="0"/>
        <v>0</v>
      </c>
    </row>
    <row r="33" spans="3:12" x14ac:dyDescent="0.25">
      <c r="C33" s="100"/>
      <c r="D33" s="100"/>
      <c r="E33" s="100"/>
      <c r="F33" s="100"/>
      <c r="G33" s="86"/>
      <c r="H33" s="52"/>
      <c r="I33" s="45"/>
      <c r="K33" s="83"/>
      <c r="L33" s="85">
        <f t="shared" si="0"/>
        <v>0</v>
      </c>
    </row>
    <row r="34" spans="3:12" x14ac:dyDescent="0.25">
      <c r="C34" s="101"/>
      <c r="D34" s="101"/>
      <c r="E34" s="101"/>
      <c r="F34" s="101"/>
      <c r="G34" s="87"/>
      <c r="H34" s="48"/>
      <c r="I34" s="45"/>
      <c r="K34" s="84"/>
      <c r="L34" s="89">
        <f t="shared" si="0"/>
        <v>0</v>
      </c>
    </row>
    <row r="35" spans="3:12" x14ac:dyDescent="0.25">
      <c r="C35" s="100"/>
      <c r="D35" s="100"/>
      <c r="E35" s="100"/>
      <c r="F35" s="100"/>
      <c r="G35" s="86"/>
      <c r="H35" s="52"/>
      <c r="I35" s="45"/>
      <c r="K35" s="83"/>
      <c r="L35" s="85">
        <f t="shared" si="0"/>
        <v>0</v>
      </c>
    </row>
    <row r="36" spans="3:12" x14ac:dyDescent="0.25">
      <c r="C36" s="102"/>
      <c r="D36" s="102"/>
      <c r="E36" s="102"/>
      <c r="F36" s="103"/>
      <c r="G36" s="88"/>
      <c r="H36" s="49"/>
      <c r="I36" s="47"/>
      <c r="K36" s="47"/>
      <c r="L36" s="41"/>
    </row>
    <row r="37" spans="3:12" x14ac:dyDescent="0.25">
      <c r="G37" s="17" t="s">
        <v>48</v>
      </c>
      <c r="H37" s="39">
        <f>SUM(H19:H36)-SUM(L19:L36)</f>
        <v>19047.619047619046</v>
      </c>
      <c r="I37" s="41"/>
    </row>
    <row r="38" spans="3:12" x14ac:dyDescent="0.25">
      <c r="G38" s="17" t="s">
        <v>18</v>
      </c>
      <c r="H38" s="39">
        <f>SUM(L19:L36)</f>
        <v>952.38095238095229</v>
      </c>
    </row>
    <row r="39" spans="3:12" ht="15.75" thickBot="1" x14ac:dyDescent="0.3">
      <c r="G39" s="18"/>
      <c r="H39" s="4"/>
    </row>
    <row r="40" spans="3:12" ht="16.5" thickTop="1" x14ac:dyDescent="0.25">
      <c r="C40" s="19"/>
      <c r="D40" s="19"/>
      <c r="E40" s="19"/>
      <c r="F40" s="19"/>
      <c r="G40" s="20" t="s">
        <v>56</v>
      </c>
      <c r="H40" s="40">
        <f>SUM(H19:H36)</f>
        <v>20000</v>
      </c>
    </row>
    <row r="43" spans="3:12" x14ac:dyDescent="0.25">
      <c r="C43" s="99" t="s">
        <v>21</v>
      </c>
      <c r="D43" s="99"/>
      <c r="E43" s="99"/>
      <c r="F43" s="99"/>
      <c r="G43" s="99"/>
      <c r="H43" s="99"/>
    </row>
    <row r="44" spans="3:12" x14ac:dyDescent="0.25">
      <c r="C44" s="99"/>
      <c r="D44" s="99"/>
      <c r="E44" s="99"/>
      <c r="F44" s="99"/>
      <c r="G44" s="99"/>
      <c r="H44" s="99"/>
    </row>
    <row r="45" spans="3:12" x14ac:dyDescent="0.25">
      <c r="C45" s="99"/>
      <c r="D45" s="99"/>
      <c r="E45" s="99"/>
      <c r="F45" s="99"/>
      <c r="G45" s="99"/>
      <c r="H45" s="99"/>
    </row>
    <row r="46" spans="3:12" x14ac:dyDescent="0.25">
      <c r="C46" s="99"/>
      <c r="D46" s="99"/>
      <c r="E46" s="99"/>
      <c r="F46" s="99"/>
      <c r="G46" s="99"/>
      <c r="H46" s="99"/>
    </row>
    <row r="47" spans="3:12" x14ac:dyDescent="0.25">
      <c r="C47" s="99"/>
      <c r="D47" s="99"/>
      <c r="E47" s="99"/>
      <c r="F47" s="99"/>
      <c r="G47" s="99"/>
      <c r="H47" s="99"/>
    </row>
    <row r="48" spans="3:12" ht="1.5" customHeight="1" x14ac:dyDescent="0.25">
      <c r="C48" s="99"/>
      <c r="D48" s="99"/>
      <c r="E48" s="99"/>
      <c r="F48" s="99"/>
      <c r="G48" s="99"/>
      <c r="H48" s="99"/>
    </row>
    <row r="49" spans="3:9" ht="15" hidden="1" customHeight="1" x14ac:dyDescent="0.25">
      <c r="C49" s="99"/>
      <c r="D49" s="99"/>
      <c r="E49" s="99"/>
      <c r="F49" s="99"/>
      <c r="G49" s="99"/>
      <c r="H49" s="99"/>
    </row>
    <row r="50" spans="3:9" ht="15" hidden="1" customHeight="1" x14ac:dyDescent="0.25">
      <c r="C50" s="99"/>
      <c r="D50" s="99"/>
      <c r="E50" s="99"/>
      <c r="F50" s="99"/>
      <c r="G50" s="99"/>
      <c r="H50" s="99"/>
    </row>
    <row r="52" spans="3:9" ht="15.75" x14ac:dyDescent="0.25">
      <c r="C52" s="98" t="str">
        <f>INFO_NOMBRE&amp;" - "&amp;INFO_CP&amp; " - "&amp;INFO_CIUDAD</f>
        <v>Nombre empresa - 304 123 33 44 - Medellín</v>
      </c>
      <c r="D52" s="98"/>
      <c r="E52" s="98"/>
      <c r="F52" s="98"/>
      <c r="G52" s="98"/>
      <c r="H52" s="98"/>
      <c r="I52" s="98"/>
    </row>
  </sheetData>
  <mergeCells count="22">
    <mergeCell ref="C28:F28"/>
    <mergeCell ref="C36:F36"/>
    <mergeCell ref="C35:F35"/>
    <mergeCell ref="C34:F34"/>
    <mergeCell ref="C33:F33"/>
    <mergeCell ref="C32:F32"/>
    <mergeCell ref="D13:E13"/>
    <mergeCell ref="C4:E7"/>
    <mergeCell ref="C52:I52"/>
    <mergeCell ref="C43:H50"/>
    <mergeCell ref="C19:F19"/>
    <mergeCell ref="C20:F20"/>
    <mergeCell ref="C21:F21"/>
    <mergeCell ref="C22:F22"/>
    <mergeCell ref="C23:F23"/>
    <mergeCell ref="C24:F24"/>
    <mergeCell ref="C25:F25"/>
    <mergeCell ref="C26:F26"/>
    <mergeCell ref="C27:F27"/>
    <mergeCell ref="C31:F31"/>
    <mergeCell ref="C30:F30"/>
    <mergeCell ref="C29:F29"/>
  </mergeCells>
  <hyperlinks>
    <hyperlink ref="R1" r:id="rId1"/>
  </hyperlinks>
  <pageMargins left="0.7" right="0.7" top="0.75" bottom="0.75" header="0.3" footer="0.3"/>
  <pageSetup paperSize="9" scale="90" orientation="portrait" r:id="rId2"/>
  <colBreaks count="2" manualBreakCount="2">
    <brk id="1" max="1048575" man="1"/>
    <brk id="10" max="1048575" man="1"/>
  </colBreaks>
  <drawing r:id="rId3"/>
  <legacyDrawing r:id="rId4"/>
  <mc:AlternateContent xmlns:mc="http://schemas.openxmlformats.org/markup-compatibility/2006">
    <mc:Choice Requires="x14">
      <controls>
        <mc:AlternateContent xmlns:mc="http://schemas.openxmlformats.org/markup-compatibility/2006">
          <mc:Choice Requires="x14">
            <control shapeId="3075" r:id="rId5" name="Button 3">
              <controlPr defaultSize="0" print="0" autoFill="0" autoPict="0" macro="[0]!Guardar_factura">
                <anchor moveWithCells="1" sizeWithCells="1">
                  <from>
                    <xdr:col>11</xdr:col>
                    <xdr:colOff>200025</xdr:colOff>
                    <xdr:row>1</xdr:row>
                    <xdr:rowOff>57150</xdr:rowOff>
                  </from>
                  <to>
                    <xdr:col>13</xdr:col>
                    <xdr:colOff>390525</xdr:colOff>
                    <xdr:row>2</xdr:row>
                    <xdr:rowOff>152400</xdr:rowOff>
                  </to>
                </anchor>
              </controlPr>
            </control>
          </mc:Choice>
        </mc:AlternateContent>
        <mc:AlternateContent xmlns:mc="http://schemas.openxmlformats.org/markup-compatibility/2006">
          <mc:Choice Requires="x14">
            <control shapeId="3076" r:id="rId6" name="Button 4">
              <controlPr defaultSize="0" print="0" autoFill="0" autoPict="0" macro="[0]!Limpiar_factura.Limpiar_factura">
                <anchor moveWithCells="1" sizeWithCells="1">
                  <from>
                    <xdr:col>14</xdr:col>
                    <xdr:colOff>28575</xdr:colOff>
                    <xdr:row>1</xdr:row>
                    <xdr:rowOff>57150</xdr:rowOff>
                  </from>
                  <to>
                    <xdr:col>16</xdr:col>
                    <xdr:colOff>123825</xdr:colOff>
                    <xdr:row>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'1. General'!$C$17:$C$23</xm:f>
          </x14:formula1>
          <xm:sqref>C11</xm:sqref>
        </x14:dataValidation>
        <x14:dataValidation type="list" allowBlank="1" showInputMessage="1" showErrorMessage="1">
          <x14:formula1>
            <xm:f>'5. Ivas'!$A$1:$A$3</xm:f>
          </x14:formula1>
          <xm:sqref>K19:K36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40"/>
  <sheetViews>
    <sheetView showGridLines="0" tabSelected="1" zoomScaleNormal="100" workbookViewId="0">
      <selection activeCell="D24" sqref="D24"/>
    </sheetView>
  </sheetViews>
  <sheetFormatPr baseColWidth="10" defaultColWidth="0" defaultRowHeight="15" x14ac:dyDescent="0.25"/>
  <cols>
    <col min="1" max="1" width="9.140625" customWidth="1"/>
    <col min="2" max="2" width="13.140625" bestFit="1" customWidth="1"/>
    <col min="3" max="3" width="20.28515625" bestFit="1" customWidth="1"/>
    <col min="4" max="4" width="15.85546875" customWidth="1"/>
    <col min="5" max="8" width="22.85546875" customWidth="1"/>
    <col min="9" max="9" width="12.28515625" customWidth="1"/>
    <col min="10" max="11" width="9.140625" hidden="1" customWidth="1"/>
    <col min="12" max="16" width="0" hidden="1" customWidth="1"/>
    <col min="17" max="16384" width="9.140625" hidden="1"/>
  </cols>
  <sheetData>
    <row r="1" spans="1:9" ht="26.25" x14ac:dyDescent="0.4">
      <c r="A1" s="2"/>
      <c r="B1" s="3" t="s">
        <v>29</v>
      </c>
      <c r="C1" s="3"/>
      <c r="D1" s="2"/>
      <c r="E1" s="2"/>
      <c r="F1" s="2"/>
      <c r="G1" s="2"/>
      <c r="H1" s="37" t="s">
        <v>39</v>
      </c>
      <c r="I1" s="2"/>
    </row>
    <row r="11" spans="1:9" x14ac:dyDescent="0.25">
      <c r="B11" s="25" t="s">
        <v>30</v>
      </c>
      <c r="C11" s="25"/>
      <c r="D11" s="25"/>
      <c r="F11" s="25" t="s">
        <v>31</v>
      </c>
      <c r="G11" s="25"/>
      <c r="H11" s="25"/>
    </row>
    <row r="13" spans="1:9" x14ac:dyDescent="0.25">
      <c r="B13" s="26" t="s">
        <v>13</v>
      </c>
      <c r="C13" s="4" t="s">
        <v>24</v>
      </c>
      <c r="D13" s="4"/>
      <c r="E13" s="4"/>
      <c r="F13" s="26" t="s">
        <v>24</v>
      </c>
      <c r="G13" s="26" t="s">
        <v>25</v>
      </c>
      <c r="H13" s="4"/>
    </row>
    <row r="14" spans="1:9" x14ac:dyDescent="0.25">
      <c r="B14" s="27" t="s">
        <v>71</v>
      </c>
      <c r="C14" s="38">
        <v>143800</v>
      </c>
      <c r="D14" s="4"/>
      <c r="E14" s="4"/>
      <c r="F14" s="26" t="s">
        <v>26</v>
      </c>
      <c r="G14" s="4">
        <v>2020</v>
      </c>
      <c r="H14" s="4" t="s">
        <v>28</v>
      </c>
    </row>
    <row r="15" spans="1:9" x14ac:dyDescent="0.25">
      <c r="B15" s="27" t="s">
        <v>27</v>
      </c>
      <c r="C15" s="38">
        <v>35350</v>
      </c>
      <c r="D15" s="4"/>
      <c r="E15" s="4"/>
      <c r="F15" s="27">
        <v>10</v>
      </c>
      <c r="G15" s="38">
        <v>199150</v>
      </c>
      <c r="H15" s="38">
        <v>199150</v>
      </c>
    </row>
    <row r="16" spans="1:9" x14ac:dyDescent="0.25">
      <c r="B16" s="27" t="s">
        <v>72</v>
      </c>
      <c r="C16" s="38">
        <v>20000</v>
      </c>
      <c r="D16" s="4"/>
      <c r="E16" s="4"/>
      <c r="F16" s="27" t="s">
        <v>28</v>
      </c>
      <c r="G16" s="38">
        <v>199150</v>
      </c>
      <c r="H16" s="38">
        <v>199150</v>
      </c>
    </row>
    <row r="17" spans="2:9" x14ac:dyDescent="0.25">
      <c r="B17" s="27" t="s">
        <v>43</v>
      </c>
      <c r="C17" s="38">
        <v>199150</v>
      </c>
      <c r="D17" s="4"/>
      <c r="E17" s="4"/>
    </row>
    <row r="18" spans="2:9" x14ac:dyDescent="0.25">
      <c r="B18" s="27"/>
      <c r="C18" s="28"/>
      <c r="D18" s="4"/>
      <c r="E18" s="4"/>
    </row>
    <row r="19" spans="2:9" x14ac:dyDescent="0.25">
      <c r="B19" s="27"/>
      <c r="C19" s="28"/>
      <c r="D19" s="4"/>
      <c r="E19" s="4"/>
      <c r="F19" s="4"/>
      <c r="G19" s="4"/>
      <c r="H19" s="4"/>
    </row>
    <row r="20" spans="2:9" x14ac:dyDescent="0.25">
      <c r="B20" s="27"/>
      <c r="C20" s="28"/>
      <c r="D20" s="4"/>
      <c r="E20" s="4"/>
      <c r="F20" s="4"/>
      <c r="G20" s="4"/>
      <c r="H20" s="4"/>
    </row>
    <row r="21" spans="2:9" x14ac:dyDescent="0.25">
      <c r="B21" s="27"/>
      <c r="C21" s="28"/>
      <c r="D21" s="4"/>
      <c r="E21" s="4"/>
      <c r="F21" s="4"/>
      <c r="G21" s="4"/>
      <c r="H21" s="4"/>
    </row>
    <row r="22" spans="2:9" x14ac:dyDescent="0.25">
      <c r="B22" s="27"/>
      <c r="C22" s="28"/>
      <c r="D22" s="4"/>
      <c r="E22" s="4"/>
      <c r="F22" s="4"/>
      <c r="G22" s="4"/>
      <c r="H22" s="4"/>
    </row>
    <row r="23" spans="2:9" x14ac:dyDescent="0.25">
      <c r="B23" s="27"/>
      <c r="C23" s="28"/>
      <c r="D23" s="4"/>
      <c r="E23" s="4"/>
      <c r="F23" s="4"/>
      <c r="G23" s="4"/>
      <c r="H23" s="4"/>
    </row>
    <row r="24" spans="2:9" x14ac:dyDescent="0.25">
      <c r="B24" s="27"/>
      <c r="C24" s="28"/>
      <c r="D24" s="4"/>
      <c r="E24" s="4"/>
      <c r="F24" s="4"/>
      <c r="G24" s="4"/>
      <c r="H24" s="4"/>
    </row>
    <row r="25" spans="2:9" x14ac:dyDescent="0.25">
      <c r="B25" s="27"/>
      <c r="C25" s="28"/>
      <c r="D25" s="4"/>
      <c r="E25" s="4"/>
      <c r="F25" s="4"/>
      <c r="G25" s="4"/>
      <c r="H25" s="4"/>
    </row>
    <row r="26" spans="2:9" x14ac:dyDescent="0.25">
      <c r="B26" s="4"/>
      <c r="C26" s="4"/>
      <c r="D26" s="4"/>
      <c r="E26" s="4"/>
      <c r="F26" s="4"/>
      <c r="G26" s="28"/>
      <c r="H26" s="4"/>
      <c r="I26" s="1"/>
    </row>
    <row r="27" spans="2:9" x14ac:dyDescent="0.25">
      <c r="G27" s="23"/>
      <c r="I27" s="1"/>
    </row>
    <row r="28" spans="2:9" x14ac:dyDescent="0.25">
      <c r="B28" s="25" t="s">
        <v>11</v>
      </c>
      <c r="C28" s="25"/>
      <c r="D28" s="25"/>
      <c r="E28" s="25"/>
      <c r="F28" s="25"/>
      <c r="G28" s="25"/>
      <c r="H28" s="25"/>
    </row>
    <row r="29" spans="2:9" x14ac:dyDescent="0.25">
      <c r="B29" s="4"/>
      <c r="C29" s="4"/>
      <c r="D29" s="4"/>
      <c r="E29" s="4"/>
      <c r="F29" s="4"/>
      <c r="G29" s="28"/>
      <c r="H29" s="4"/>
      <c r="I29" s="1"/>
    </row>
    <row r="30" spans="2:9" x14ac:dyDescent="0.25">
      <c r="B30" s="26" t="s">
        <v>32</v>
      </c>
      <c r="C30" s="4" t="s">
        <v>37</v>
      </c>
      <c r="F30" s="26" t="s">
        <v>32</v>
      </c>
      <c r="G30" s="4" t="s">
        <v>37</v>
      </c>
    </row>
    <row r="32" spans="2:9" x14ac:dyDescent="0.25">
      <c r="B32" s="26" t="s">
        <v>13</v>
      </c>
      <c r="C32" s="4" t="s">
        <v>38</v>
      </c>
      <c r="F32" s="26" t="s">
        <v>38</v>
      </c>
      <c r="G32" s="26" t="s">
        <v>26</v>
      </c>
      <c r="H32" s="4"/>
    </row>
    <row r="33" spans="2:8" x14ac:dyDescent="0.25">
      <c r="B33" s="27" t="s">
        <v>71</v>
      </c>
      <c r="C33" s="38">
        <v>22959.66</v>
      </c>
      <c r="F33" s="26" t="s">
        <v>25</v>
      </c>
      <c r="G33" s="4">
        <v>2020</v>
      </c>
      <c r="H33" s="4" t="s">
        <v>43</v>
      </c>
    </row>
    <row r="34" spans="2:8" x14ac:dyDescent="0.25">
      <c r="B34" s="27" t="s">
        <v>27</v>
      </c>
      <c r="C34" s="38">
        <v>5644.12</v>
      </c>
      <c r="F34" s="27">
        <v>10</v>
      </c>
      <c r="G34" s="38">
        <v>28603.78</v>
      </c>
      <c r="H34" s="38">
        <v>28603.78</v>
      </c>
    </row>
    <row r="35" spans="2:8" x14ac:dyDescent="0.25">
      <c r="B35" s="27" t="s">
        <v>72</v>
      </c>
      <c r="C35" s="38">
        <v>0</v>
      </c>
      <c r="F35" s="27" t="s">
        <v>43</v>
      </c>
      <c r="G35" s="38">
        <v>28603.78</v>
      </c>
      <c r="H35" s="38">
        <v>28603.78</v>
      </c>
    </row>
    <row r="36" spans="2:8" x14ac:dyDescent="0.25">
      <c r="B36" s="27" t="s">
        <v>43</v>
      </c>
      <c r="C36" s="38">
        <v>28603.78</v>
      </c>
    </row>
    <row r="39" spans="2:8" x14ac:dyDescent="0.25">
      <c r="B39" s="1"/>
      <c r="C39" s="23"/>
      <c r="D39" s="23"/>
      <c r="E39" s="23"/>
      <c r="F39" s="23"/>
    </row>
    <row r="40" spans="2:8" x14ac:dyDescent="0.25">
      <c r="B40" s="1"/>
      <c r="C40" s="23"/>
      <c r="D40" s="23"/>
      <c r="E40" s="23"/>
      <c r="F40" s="23"/>
    </row>
  </sheetData>
  <hyperlinks>
    <hyperlink ref="H1" r:id="rId5"/>
  </hyperlinks>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3"/>
  <sheetViews>
    <sheetView workbookViewId="0">
      <selection activeCell="D2" sqref="D2:G2"/>
    </sheetView>
  </sheetViews>
  <sheetFormatPr baseColWidth="10" defaultRowHeight="15" x14ac:dyDescent="0.25"/>
  <sheetData>
    <row r="1" spans="1:1" x14ac:dyDescent="0.25">
      <c r="A1">
        <v>0</v>
      </c>
    </row>
    <row r="2" spans="1:1" x14ac:dyDescent="0.25">
      <c r="A2">
        <v>5</v>
      </c>
    </row>
    <row r="3" spans="1:1" x14ac:dyDescent="0.25">
      <c r="A3">
        <v>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7</vt:i4>
      </vt:variant>
    </vt:vector>
  </HeadingPairs>
  <TitlesOfParts>
    <vt:vector size="13" baseType="lpstr">
      <vt:lpstr>0. Introducción</vt:lpstr>
      <vt:lpstr>1. General</vt:lpstr>
      <vt:lpstr>2. Archivo Facturas</vt:lpstr>
      <vt:lpstr>3. Nueva factura</vt:lpstr>
      <vt:lpstr>4. Control</vt:lpstr>
      <vt:lpstr>5. Ivas</vt:lpstr>
      <vt:lpstr>'3. Nueva factura'!Área_de_impresión</vt:lpstr>
      <vt:lpstr>INFO_CIUDAD</vt:lpstr>
      <vt:lpstr>INFO_CP</vt:lpstr>
      <vt:lpstr>INFO_DIREC</vt:lpstr>
      <vt:lpstr>INFO_IVA</vt:lpstr>
      <vt:lpstr>INFO_NIF</vt:lpstr>
      <vt:lpstr>INFO_NOMBRE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Arranz, Enrique</dc:creator>
  <cp:lastModifiedBy>dell</cp:lastModifiedBy>
  <cp:lastPrinted>2020-10-07T20:03:35Z</cp:lastPrinted>
  <dcterms:created xsi:type="dcterms:W3CDTF">2015-04-06T07:21:09Z</dcterms:created>
  <dcterms:modified xsi:type="dcterms:W3CDTF">2020-10-07T20:43:13Z</dcterms:modified>
</cp:coreProperties>
</file>